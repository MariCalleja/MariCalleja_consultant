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lbean-my.sharepoint.com/personal/mcalleja1_llbean_com/Documents/Personal/mami y juan/"/>
    </mc:Choice>
  </mc:AlternateContent>
  <xr:revisionPtr revIDLastSave="52" documentId="8_{8FF1D443-D079-442F-AFDA-AD40C4C3539B}" xr6:coauthVersionLast="47" xr6:coauthVersionMax="47" xr10:uidLastSave="{BE6F4E8E-C639-4861-A8B2-5278411B3CEF}"/>
  <bookViews>
    <workbookView xWindow="-120" yWindow="-120" windowWidth="29040" windowHeight="15840" xr2:uid="{C5B29CB2-0E9C-4E62-8AF8-B082D58EEB0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" l="1"/>
  <c r="H28" i="1"/>
  <c r="J22" i="1"/>
  <c r="J21" i="1"/>
  <c r="H21" i="1"/>
  <c r="H15" i="1"/>
  <c r="I15" i="1"/>
  <c r="J15" i="1"/>
  <c r="J14" i="1"/>
  <c r="I14" i="1"/>
  <c r="H14" i="1"/>
  <c r="K15" i="1"/>
  <c r="K14" i="1"/>
  <c r="F3" i="1"/>
  <c r="H4" i="1"/>
  <c r="H3" i="1"/>
  <c r="G4" i="1"/>
  <c r="G3" i="1"/>
  <c r="F4" i="1"/>
  <c r="A22" i="1"/>
  <c r="A23" i="1" s="1"/>
  <c r="D22" i="1"/>
  <c r="D5" i="1"/>
  <c r="D4" i="1"/>
  <c r="D3" i="1"/>
  <c r="C4" i="1"/>
  <c r="C3" i="1"/>
  <c r="B5" i="1"/>
  <c r="B4" i="1"/>
  <c r="B3" i="1"/>
  <c r="I21" i="1" l="1"/>
  <c r="H22" i="1"/>
  <c r="I22" i="1"/>
</calcChain>
</file>

<file path=xl/sharedStrings.xml><?xml version="1.0" encoding="utf-8"?>
<sst xmlns="http://schemas.openxmlformats.org/spreadsheetml/2006/main" count="23" uniqueCount="16">
  <si>
    <t>Inicial USD</t>
  </si>
  <si>
    <t>Juan</t>
  </si>
  <si>
    <t>Mami</t>
  </si>
  <si>
    <t>Total</t>
  </si>
  <si>
    <t>BAC CRC</t>
  </si>
  <si>
    <t>Inicial CRC</t>
  </si>
  <si>
    <t>BAC</t>
  </si>
  <si>
    <t>CEX.IO</t>
  </si>
  <si>
    <t>Current ownerships</t>
  </si>
  <si>
    <t>Cex.io USD</t>
  </si>
  <si>
    <t>Cex.io BTC</t>
  </si>
  <si>
    <t>BTC</t>
  </si>
  <si>
    <t>ETH</t>
  </si>
  <si>
    <t>DOT</t>
  </si>
  <si>
    <t>$$</t>
  </si>
  <si>
    <t>Todos los fondos del BAC enviados al Ledger segun dueno. Pendient fondos CEX.IO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</si>
</sst>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3" applyNumberFormat="1" applyFont="1"/>
    <xf numFmtId="0" fontId="2" fillId="0" borderId="0" xfId="0" applyFont="1"/>
    <xf numFmtId="43" fontId="0" fillId="0" borderId="0" xfId="1" applyFont="1"/>
    <xf numFmtId="44" fontId="0" fillId="0" borderId="0" xfId="2" applyFont="1"/>
    <xf numFmtId="43" fontId="0" fillId="0" borderId="0" xfId="0" applyNumberFormat="1"/>
    <xf numFmtId="0" fontId="0" fillId="2" borderId="0" xfId="0" applyFill="1"/>
    <xf numFmtId="43" fontId="0" fillId="2" borderId="0" xfId="0" applyNumberFormat="1" applyFill="1"/>
    <xf numFmtId="44" fontId="0" fillId="2" borderId="0" xfId="2" applyFont="1" applyFill="1"/>
    <xf numFmtId="165" fontId="0" fillId="2" borderId="0" xfId="1" applyNumberFormat="1" applyFont="1" applyFill="1"/>
    <xf numFmtId="0" fontId="0" fillId="2" borderId="0" xfId="0" applyFill="1" applyAlignment="1">
      <alignment horizontal="center"/>
    </xf>
    <xf numFmtId="1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A08C-8DE5-460D-ADD9-9F7E2ED04D7F}">
  <dimension ref="A1:P33"/>
  <sheetViews>
    <sheetView tabSelected="1" workbookViewId="0">
      <selection activeCell="O13" sqref="O13"/>
    </sheetView>
  </sheetViews>
  <sheetFormatPr defaultRowHeight="15" x14ac:dyDescent="0.25"/>
  <cols>
    <col min="1" max="1" width="13.28515625" bestFit="1" customWidth="1"/>
    <col min="2" max="2" width="13.28515625" style="4" bestFit="1" customWidth="1"/>
    <col min="4" max="4" width="13.28515625" bestFit="1" customWidth="1"/>
    <col min="5" max="5" width="3.85546875" customWidth="1"/>
    <col min="6" max="6" width="13.28515625" bestFit="1" customWidth="1"/>
    <col min="7" max="7" width="10.5703125" bestFit="1" customWidth="1"/>
    <col min="8" max="8" width="11.5703125" bestFit="1" customWidth="1"/>
    <col min="9" max="9" width="12.5703125" style="4" bestFit="1" customWidth="1"/>
    <col min="10" max="10" width="11.5703125" bestFit="1" customWidth="1"/>
    <col min="11" max="11" width="13.28515625" bestFit="1" customWidth="1"/>
    <col min="15" max="15" width="9.7109375" bestFit="1" customWidth="1"/>
  </cols>
  <sheetData>
    <row r="1" spans="1:16" x14ac:dyDescent="0.25">
      <c r="D1" s="2">
        <v>606</v>
      </c>
      <c r="E1" s="2"/>
      <c r="F1" s="10" t="s">
        <v>8</v>
      </c>
      <c r="G1" s="10"/>
    </row>
    <row r="2" spans="1:16" x14ac:dyDescent="0.25">
      <c r="B2" s="4" t="s">
        <v>0</v>
      </c>
      <c r="D2" t="s">
        <v>5</v>
      </c>
      <c r="F2" s="6" t="s">
        <v>6</v>
      </c>
      <c r="G2" s="6" t="s">
        <v>9</v>
      </c>
      <c r="H2" s="6" t="s">
        <v>10</v>
      </c>
    </row>
    <row r="3" spans="1:16" x14ac:dyDescent="0.25">
      <c r="A3" t="s">
        <v>1</v>
      </c>
      <c r="B3" s="4">
        <f>2637.62+98.62+50</f>
        <v>2786.24</v>
      </c>
      <c r="C3" s="1">
        <f>B3/$B$5</f>
        <v>0.48352746810312514</v>
      </c>
      <c r="D3" s="3">
        <f>B3*$D$1</f>
        <v>1688461.44</v>
      </c>
      <c r="E3" s="3"/>
      <c r="F3" s="7">
        <f>$F$7*C3</f>
        <v>1259235.1703252858</v>
      </c>
      <c r="G3" s="8">
        <f>$G$7*C3</f>
        <v>493.75890932818726</v>
      </c>
      <c r="H3" s="9">
        <f>$H$7*C3</f>
        <v>1.7627404848047312E-2</v>
      </c>
    </row>
    <row r="4" spans="1:16" x14ac:dyDescent="0.25">
      <c r="A4" t="s">
        <v>2</v>
      </c>
      <c r="B4" s="4">
        <f>2877.46+49.32+49.3</f>
        <v>2976.0800000000004</v>
      </c>
      <c r="C4" s="1">
        <f>B4/$B$5</f>
        <v>0.51647253189687492</v>
      </c>
      <c r="D4" s="3">
        <f>B4*$D$1</f>
        <v>1803504.4800000002</v>
      </c>
      <c r="E4" s="3"/>
      <c r="F4" s="7">
        <f>$F$7*C4</f>
        <v>1345032.9496747146</v>
      </c>
      <c r="G4" s="8">
        <f>$G$7*C4</f>
        <v>527.40109067181277</v>
      </c>
      <c r="H4" s="9">
        <f>$H$7*C4</f>
        <v>1.8828445151952686E-2</v>
      </c>
    </row>
    <row r="5" spans="1:16" x14ac:dyDescent="0.25">
      <c r="A5" t="s">
        <v>3</v>
      </c>
      <c r="B5" s="4">
        <f>SUM(B3:B4)</f>
        <v>5762.32</v>
      </c>
      <c r="D5" s="3">
        <f t="shared" ref="D5" si="0">SUM(D3:D4)</f>
        <v>3491965.92</v>
      </c>
      <c r="E5" s="3"/>
    </row>
    <row r="7" spans="1:16" x14ac:dyDescent="0.25">
      <c r="F7" s="3">
        <v>2604268.12</v>
      </c>
      <c r="G7" s="4">
        <v>1021.16</v>
      </c>
      <c r="H7">
        <v>3.6455849999999998E-2</v>
      </c>
    </row>
    <row r="8" spans="1:16" x14ac:dyDescent="0.25">
      <c r="F8" t="s">
        <v>4</v>
      </c>
      <c r="G8" t="s">
        <v>7</v>
      </c>
    </row>
    <row r="13" spans="1:16" x14ac:dyDescent="0.25">
      <c r="H13" t="s">
        <v>11</v>
      </c>
      <c r="I13" s="4" t="s">
        <v>12</v>
      </c>
      <c r="J13" t="s">
        <v>13</v>
      </c>
      <c r="O13" s="11">
        <v>45153</v>
      </c>
      <c r="P13" t="s">
        <v>15</v>
      </c>
    </row>
    <row r="14" spans="1:16" x14ac:dyDescent="0.25">
      <c r="G14" t="s">
        <v>2</v>
      </c>
      <c r="H14" s="5">
        <f>K14*0.7</f>
        <v>941523.06477230019</v>
      </c>
      <c r="I14" s="4">
        <f>K14*0.2</f>
        <v>269006.58993494295</v>
      </c>
      <c r="J14" s="5">
        <f>K14*0.1</f>
        <v>134503.29496747148</v>
      </c>
      <c r="K14" s="5">
        <f>F4</f>
        <v>1345032.9496747146</v>
      </c>
    </row>
    <row r="15" spans="1:16" x14ac:dyDescent="0.25">
      <c r="G15" t="s">
        <v>1</v>
      </c>
      <c r="H15" s="5">
        <f>K15*0.7</f>
        <v>881464.61922769994</v>
      </c>
      <c r="I15" s="4">
        <f>K15*0.2</f>
        <v>251847.03406505717</v>
      </c>
      <c r="J15" s="5">
        <f>K15*0.1</f>
        <v>125923.51703252859</v>
      </c>
      <c r="K15" s="5">
        <f>F3</f>
        <v>1259235.1703252858</v>
      </c>
    </row>
    <row r="19" spans="1:11" x14ac:dyDescent="0.25">
      <c r="G19" t="s">
        <v>14</v>
      </c>
    </row>
    <row r="20" spans="1:11" x14ac:dyDescent="0.25">
      <c r="H20" t="s">
        <v>11</v>
      </c>
      <c r="I20" s="4" t="s">
        <v>12</v>
      </c>
      <c r="J20" t="s">
        <v>13</v>
      </c>
    </row>
    <row r="21" spans="1:11" x14ac:dyDescent="0.25">
      <c r="D21">
        <v>1021.16</v>
      </c>
      <c r="G21" t="s">
        <v>2</v>
      </c>
      <c r="H21" s="7">
        <f>K21*0.7</f>
        <v>1736.6999999999998</v>
      </c>
      <c r="I21" s="8">
        <f>K21*0.2</f>
        <v>496.20000000000005</v>
      </c>
      <c r="J21" s="7">
        <f>K21*0.1</f>
        <v>248.10000000000002</v>
      </c>
      <c r="K21" s="5">
        <v>2481</v>
      </c>
    </row>
    <row r="22" spans="1:11" x14ac:dyDescent="0.25">
      <c r="A22" s="5">
        <f>F7+D22</f>
        <v>3223091.08</v>
      </c>
      <c r="D22">
        <f>D21*D1</f>
        <v>618822.96</v>
      </c>
      <c r="G22" t="s">
        <v>1</v>
      </c>
      <c r="H22" s="7">
        <f>K22*0.7</f>
        <v>1626.3169999999998</v>
      </c>
      <c r="I22" s="8">
        <f>K22*0.2</f>
        <v>464.66200000000003</v>
      </c>
      <c r="J22" s="7">
        <f>K22*0.1</f>
        <v>232.33100000000002</v>
      </c>
      <c r="K22" s="5">
        <v>2323.31</v>
      </c>
    </row>
    <row r="23" spans="1:11" x14ac:dyDescent="0.25">
      <c r="A23" s="5">
        <f>A22-D5</f>
        <v>-268874.83999999985</v>
      </c>
    </row>
    <row r="27" spans="1:11" x14ac:dyDescent="0.25">
      <c r="H27">
        <v>50</v>
      </c>
    </row>
    <row r="28" spans="1:11" x14ac:dyDescent="0.25">
      <c r="H28" s="5">
        <f>H22-H27</f>
        <v>1576.3169999999998</v>
      </c>
    </row>
    <row r="33" spans="12:12" x14ac:dyDescent="0.25">
      <c r="L33">
        <f>854192+27100</f>
        <v>881292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F0CC-BDD8-42B4-B4C7-CEE2DC0601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C32A-A984-45FC-B465-796F13E3A9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Calleja</dc:creator>
  <cp:lastModifiedBy>Maria Calleja</cp:lastModifiedBy>
  <dcterms:created xsi:type="dcterms:W3CDTF">2023-03-21T19:40:27Z</dcterms:created>
  <dcterms:modified xsi:type="dcterms:W3CDTF">2023-08-16T00:48:14Z</dcterms:modified>
</cp:coreProperties>
</file>