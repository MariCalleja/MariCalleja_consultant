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lbean-my.sharepoint.com/personal/mcalleja1_llbean_com/Documents/Personal/"/>
    </mc:Choice>
  </mc:AlternateContent>
  <xr:revisionPtr revIDLastSave="597" documentId="8_{50080DD5-60D4-4EB1-A188-775E2A975E2C}" xr6:coauthVersionLast="47" xr6:coauthVersionMax="47" xr10:uidLastSave="{9CC84FA0-8906-4C24-9E3B-5EAA0B20F9BA}"/>
  <bookViews>
    <workbookView xWindow="-120" yWindow="-120" windowWidth="29040" windowHeight="15720" xr2:uid="{C0328162-124E-4898-B7C7-62B51A646CC8}"/>
  </bookViews>
  <sheets>
    <sheet name="Pivot" sheetId="2" r:id="rId1"/>
    <sheet name="Data" sheetId="1" r:id="rId2"/>
  </sheets>
  <definedNames>
    <definedName name="_xlnm._FilterDatabase" localSheetId="1" hidden="1">Data!$C$1:$O$289</definedName>
  </definedNames>
  <calcPr calcId="191029"/>
  <pivotCaches>
    <pivotCache cacheId="3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0" i="1" l="1"/>
  <c r="L109" i="1"/>
  <c r="L108" i="1"/>
  <c r="L107" i="1"/>
  <c r="L106" i="1"/>
  <c r="L105" i="1"/>
  <c r="L104" i="1"/>
  <c r="L103" i="1"/>
  <c r="L102" i="1"/>
  <c r="L101" i="1"/>
  <c r="L100" i="1"/>
  <c r="L99" i="1"/>
  <c r="L98" i="1"/>
  <c r="N23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AE5" i="2"/>
  <c r="AE7" i="2"/>
  <c r="AE6" i="2"/>
  <c r="D26" i="1"/>
  <c r="E26" i="1" s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E21" i="1"/>
  <c r="N21" i="1" s="1"/>
  <c r="E22" i="1"/>
  <c r="N22" i="1" s="1"/>
  <c r="E23" i="1"/>
  <c r="E24" i="1"/>
  <c r="N24" i="1" s="1"/>
  <c r="E25" i="1"/>
  <c r="N25" i="1" s="1"/>
  <c r="E20" i="1"/>
  <c r="N20" i="1" s="1"/>
  <c r="E15" i="1"/>
  <c r="N15" i="1" s="1"/>
  <c r="E16" i="1"/>
  <c r="N16" i="1" s="1"/>
  <c r="E17" i="1"/>
  <c r="N17" i="1" s="1"/>
  <c r="E18" i="1"/>
  <c r="N18" i="1" s="1"/>
  <c r="E19" i="1"/>
  <c r="N19" i="1" s="1"/>
  <c r="E13" i="1"/>
  <c r="N13" i="1" s="1"/>
  <c r="E12" i="1"/>
  <c r="N12" i="1" s="1"/>
  <c r="E11" i="1"/>
  <c r="N11" i="1" s="1"/>
  <c r="E10" i="1"/>
  <c r="N10" i="1" s="1"/>
  <c r="E9" i="1"/>
  <c r="N9" i="1" s="1"/>
  <c r="E8" i="1"/>
  <c r="N8" i="1" s="1"/>
  <c r="E7" i="1"/>
  <c r="N7" i="1" s="1"/>
  <c r="E6" i="1"/>
  <c r="N6" i="1" s="1"/>
  <c r="E5" i="1"/>
  <c r="N5" i="1" s="1"/>
  <c r="E4" i="1"/>
  <c r="N4" i="1" s="1"/>
  <c r="E3" i="1"/>
  <c r="N3" i="1" s="1"/>
  <c r="E2" i="1"/>
  <c r="N2" i="1" s="1"/>
  <c r="E14" i="1"/>
  <c r="N14" i="1" s="1"/>
  <c r="N26" i="1" l="1"/>
  <c r="D27" i="1"/>
  <c r="D32" i="1"/>
  <c r="E32" i="1" l="1"/>
  <c r="N32" i="1"/>
  <c r="D38" i="1"/>
  <c r="D33" i="1"/>
  <c r="D28" i="1"/>
  <c r="E27" i="1"/>
  <c r="N27" i="1" s="1"/>
  <c r="E28" i="1" l="1"/>
  <c r="N28" i="1" s="1"/>
  <c r="D29" i="1"/>
  <c r="E33" i="1"/>
  <c r="N33" i="1" s="1"/>
  <c r="D34" i="1"/>
  <c r="D44" i="1"/>
  <c r="D39" i="1"/>
  <c r="E38" i="1"/>
  <c r="N38" i="1" s="1"/>
  <c r="D40" i="1" l="1"/>
  <c r="E39" i="1"/>
  <c r="N39" i="1" s="1"/>
  <c r="D35" i="1"/>
  <c r="E34" i="1"/>
  <c r="N34" i="1" s="1"/>
  <c r="D45" i="1"/>
  <c r="D50" i="1"/>
  <c r="E44" i="1"/>
  <c r="N44" i="1" s="1"/>
  <c r="D30" i="1"/>
  <c r="E29" i="1"/>
  <c r="N29" i="1" s="1"/>
  <c r="N40" i="1" l="1"/>
  <c r="D51" i="1"/>
  <c r="E50" i="1"/>
  <c r="N50" i="1" s="1"/>
  <c r="D56" i="1"/>
  <c r="E45" i="1"/>
  <c r="N45" i="1" s="1"/>
  <c r="D46" i="1"/>
  <c r="D36" i="1"/>
  <c r="E35" i="1"/>
  <c r="N35" i="1" s="1"/>
  <c r="E30" i="1"/>
  <c r="N30" i="1" s="1"/>
  <c r="D31" i="1"/>
  <c r="E40" i="1"/>
  <c r="D41" i="1"/>
  <c r="E31" i="1" l="1"/>
  <c r="N31" i="1"/>
  <c r="D42" i="1"/>
  <c r="E41" i="1"/>
  <c r="N41" i="1" s="1"/>
  <c r="E46" i="1"/>
  <c r="N46" i="1" s="1"/>
  <c r="D47" i="1"/>
  <c r="E36" i="1"/>
  <c r="N36" i="1" s="1"/>
  <c r="D37" i="1"/>
  <c r="D57" i="1"/>
  <c r="D62" i="1"/>
  <c r="E56" i="1"/>
  <c r="N56" i="1" s="1"/>
  <c r="D52" i="1"/>
  <c r="E51" i="1"/>
  <c r="N51" i="1" s="1"/>
  <c r="N62" i="1" l="1"/>
  <c r="E37" i="1"/>
  <c r="N37" i="1"/>
  <c r="D63" i="1"/>
  <c r="E62" i="1"/>
  <c r="D68" i="1"/>
  <c r="D53" i="1"/>
  <c r="E52" i="1"/>
  <c r="N52" i="1" s="1"/>
  <c r="D58" i="1"/>
  <c r="E57" i="1"/>
  <c r="N57" i="1" s="1"/>
  <c r="E47" i="1"/>
  <c r="N47" i="1" s="1"/>
  <c r="D48" i="1"/>
  <c r="D43" i="1"/>
  <c r="E42" i="1"/>
  <c r="N42" i="1" s="1"/>
  <c r="E43" i="1" l="1"/>
  <c r="N43" i="1"/>
  <c r="N53" i="1"/>
  <c r="E53" i="1"/>
  <c r="D54" i="1"/>
  <c r="D49" i="1"/>
  <c r="E48" i="1"/>
  <c r="N48" i="1" s="1"/>
  <c r="E58" i="1"/>
  <c r="N58" i="1" s="1"/>
  <c r="D59" i="1"/>
  <c r="D69" i="1"/>
  <c r="D74" i="1"/>
  <c r="E68" i="1"/>
  <c r="N68" i="1" s="1"/>
  <c r="D64" i="1"/>
  <c r="E63" i="1"/>
  <c r="N63" i="1" s="1"/>
  <c r="E49" i="1" l="1"/>
  <c r="N49" i="1"/>
  <c r="N54" i="1"/>
  <c r="D70" i="1"/>
  <c r="E69" i="1"/>
  <c r="N69" i="1" s="1"/>
  <c r="D75" i="1"/>
  <c r="E74" i="1"/>
  <c r="N74" i="1" s="1"/>
  <c r="D80" i="1"/>
  <c r="E64" i="1"/>
  <c r="N64" i="1" s="1"/>
  <c r="D65" i="1"/>
  <c r="D60" i="1"/>
  <c r="E59" i="1"/>
  <c r="N59" i="1" s="1"/>
  <c r="D55" i="1"/>
  <c r="E54" i="1"/>
  <c r="N80" i="1" l="1"/>
  <c r="N70" i="1"/>
  <c r="E55" i="1"/>
  <c r="N55" i="1"/>
  <c r="E60" i="1"/>
  <c r="N60" i="1" s="1"/>
  <c r="D61" i="1"/>
  <c r="E75" i="1"/>
  <c r="N75" i="1" s="1"/>
  <c r="D76" i="1"/>
  <c r="E65" i="1"/>
  <c r="N65" i="1" s="1"/>
  <c r="D66" i="1"/>
  <c r="D81" i="1"/>
  <c r="E80" i="1"/>
  <c r="D86" i="1"/>
  <c r="D71" i="1"/>
  <c r="E70" i="1"/>
  <c r="E61" i="1" l="1"/>
  <c r="N61" i="1"/>
  <c r="N71" i="1"/>
  <c r="N86" i="1"/>
  <c r="D67" i="1"/>
  <c r="E66" i="1"/>
  <c r="N66" i="1" s="1"/>
  <c r="E76" i="1"/>
  <c r="N76" i="1" s="1"/>
  <c r="D77" i="1"/>
  <c r="D72" i="1"/>
  <c r="E71" i="1"/>
  <c r="D87" i="1"/>
  <c r="D92" i="1"/>
  <c r="E86" i="1"/>
  <c r="D82" i="1"/>
  <c r="E81" i="1"/>
  <c r="N81" i="1" s="1"/>
  <c r="E67" i="1" l="1"/>
  <c r="N67" i="1"/>
  <c r="N87" i="1"/>
  <c r="D83" i="1"/>
  <c r="E82" i="1"/>
  <c r="N82" i="1" s="1"/>
  <c r="D93" i="1"/>
  <c r="E92" i="1"/>
  <c r="N92" i="1" s="1"/>
  <c r="D98" i="1"/>
  <c r="D73" i="1"/>
  <c r="E72" i="1"/>
  <c r="N72" i="1" s="1"/>
  <c r="D78" i="1"/>
  <c r="E77" i="1"/>
  <c r="N77" i="1" s="1"/>
  <c r="D88" i="1"/>
  <c r="E87" i="1"/>
  <c r="N88" i="1" l="1"/>
  <c r="E73" i="1"/>
  <c r="N73" i="1"/>
  <c r="D99" i="1"/>
  <c r="E98" i="1"/>
  <c r="N98" i="1" s="1"/>
  <c r="D104" i="1"/>
  <c r="D79" i="1"/>
  <c r="E78" i="1"/>
  <c r="N78" i="1" s="1"/>
  <c r="E88" i="1"/>
  <c r="D89" i="1"/>
  <c r="D94" i="1"/>
  <c r="E93" i="1"/>
  <c r="N93" i="1" s="1"/>
  <c r="D84" i="1"/>
  <c r="E83" i="1"/>
  <c r="N83" i="1" s="1"/>
  <c r="E79" i="1" l="1"/>
  <c r="N79" i="1"/>
  <c r="N89" i="1"/>
  <c r="E84" i="1"/>
  <c r="N84" i="1" s="1"/>
  <c r="D85" i="1"/>
  <c r="D95" i="1"/>
  <c r="E94" i="1"/>
  <c r="N94" i="1" s="1"/>
  <c r="D90" i="1"/>
  <c r="E89" i="1"/>
  <c r="D105" i="1"/>
  <c r="E104" i="1"/>
  <c r="N104" i="1" s="1"/>
  <c r="D110" i="1"/>
  <c r="D100" i="1"/>
  <c r="E99" i="1"/>
  <c r="N99" i="1" s="1"/>
  <c r="E85" i="1" l="1"/>
  <c r="N85" i="1"/>
  <c r="N100" i="1"/>
  <c r="N105" i="1"/>
  <c r="E95" i="1"/>
  <c r="N95" i="1" s="1"/>
  <c r="D96" i="1"/>
  <c r="D111" i="1"/>
  <c r="E110" i="1"/>
  <c r="N110" i="1" s="1"/>
  <c r="D116" i="1"/>
  <c r="E105" i="1"/>
  <c r="D106" i="1"/>
  <c r="D101" i="1"/>
  <c r="E100" i="1"/>
  <c r="D91" i="1"/>
  <c r="E90" i="1"/>
  <c r="N90" i="1" s="1"/>
  <c r="N96" i="1" l="1"/>
  <c r="E91" i="1"/>
  <c r="N91" i="1"/>
  <c r="N106" i="1"/>
  <c r="D112" i="1"/>
  <c r="E111" i="1"/>
  <c r="N111" i="1" s="1"/>
  <c r="E101" i="1"/>
  <c r="N101" i="1" s="1"/>
  <c r="D102" i="1"/>
  <c r="D97" i="1"/>
  <c r="E96" i="1"/>
  <c r="E106" i="1"/>
  <c r="D107" i="1"/>
  <c r="D117" i="1"/>
  <c r="E116" i="1"/>
  <c r="N116" i="1" s="1"/>
  <c r="D122" i="1"/>
  <c r="E97" i="1" l="1"/>
  <c r="N97" i="1"/>
  <c r="N107" i="1"/>
  <c r="D123" i="1"/>
  <c r="D128" i="1"/>
  <c r="E122" i="1"/>
  <c r="N122" i="1" s="1"/>
  <c r="D118" i="1"/>
  <c r="E117" i="1"/>
  <c r="N117" i="1" s="1"/>
  <c r="E107" i="1"/>
  <c r="D108" i="1"/>
  <c r="E102" i="1"/>
  <c r="N102" i="1" s="1"/>
  <c r="D103" i="1"/>
  <c r="E112" i="1"/>
  <c r="N112" i="1" s="1"/>
  <c r="D113" i="1"/>
  <c r="E103" i="1" l="1"/>
  <c r="N103" i="1"/>
  <c r="E113" i="1"/>
  <c r="N113" i="1" s="1"/>
  <c r="D114" i="1"/>
  <c r="D109" i="1"/>
  <c r="E108" i="1"/>
  <c r="N108" i="1" s="1"/>
  <c r="E118" i="1"/>
  <c r="N118" i="1" s="1"/>
  <c r="D119" i="1"/>
  <c r="D129" i="1"/>
  <c r="E128" i="1"/>
  <c r="N128" i="1" s="1"/>
  <c r="D134" i="1"/>
  <c r="D124" i="1"/>
  <c r="E123" i="1"/>
  <c r="N123" i="1" s="1"/>
  <c r="E109" i="1" l="1"/>
  <c r="N109" i="1"/>
  <c r="N119" i="1"/>
  <c r="D135" i="1"/>
  <c r="E134" i="1"/>
  <c r="N134" i="1" s="1"/>
  <c r="D140" i="1"/>
  <c r="D130" i="1"/>
  <c r="E129" i="1"/>
  <c r="N129" i="1" s="1"/>
  <c r="E119" i="1"/>
  <c r="D120" i="1"/>
  <c r="D125" i="1"/>
  <c r="E124" i="1"/>
  <c r="N124" i="1" s="1"/>
  <c r="D115" i="1"/>
  <c r="E114" i="1"/>
  <c r="N114" i="1" s="1"/>
  <c r="E115" i="1" l="1"/>
  <c r="N115" i="1"/>
  <c r="D126" i="1"/>
  <c r="E125" i="1"/>
  <c r="N125" i="1" s="1"/>
  <c r="E120" i="1"/>
  <c r="N120" i="1" s="1"/>
  <c r="D121" i="1"/>
  <c r="E130" i="1"/>
  <c r="N130" i="1" s="1"/>
  <c r="D131" i="1"/>
  <c r="D141" i="1"/>
  <c r="D146" i="1"/>
  <c r="E140" i="1"/>
  <c r="N140" i="1" s="1"/>
  <c r="E135" i="1"/>
  <c r="N135" i="1" s="1"/>
  <c r="D136" i="1"/>
  <c r="E121" i="1" l="1"/>
  <c r="N121" i="1"/>
  <c r="N146" i="1"/>
  <c r="N141" i="1"/>
  <c r="E131" i="1"/>
  <c r="N131" i="1" s="1"/>
  <c r="D132" i="1"/>
  <c r="E136" i="1"/>
  <c r="N136" i="1" s="1"/>
  <c r="D137" i="1"/>
  <c r="D147" i="1"/>
  <c r="D152" i="1"/>
  <c r="E146" i="1"/>
  <c r="D142" i="1"/>
  <c r="E141" i="1"/>
  <c r="D127" i="1"/>
  <c r="E126" i="1"/>
  <c r="N126" i="1" s="1"/>
  <c r="E127" i="1" l="1"/>
  <c r="N127" i="1"/>
  <c r="N142" i="1"/>
  <c r="D153" i="1"/>
  <c r="D158" i="1"/>
  <c r="E152" i="1"/>
  <c r="N152" i="1" s="1"/>
  <c r="D133" i="1"/>
  <c r="E132" i="1"/>
  <c r="N132" i="1" s="1"/>
  <c r="D143" i="1"/>
  <c r="E142" i="1"/>
  <c r="E147" i="1"/>
  <c r="N147" i="1" s="1"/>
  <c r="D148" i="1"/>
  <c r="D138" i="1"/>
  <c r="E137" i="1"/>
  <c r="N137" i="1" s="1"/>
  <c r="E133" i="1" l="1"/>
  <c r="N133" i="1"/>
  <c r="N143" i="1"/>
  <c r="D154" i="1"/>
  <c r="E153" i="1"/>
  <c r="N153" i="1" s="1"/>
  <c r="E138" i="1"/>
  <c r="N138" i="1" s="1"/>
  <c r="D139" i="1"/>
  <c r="E148" i="1"/>
  <c r="N148" i="1" s="1"/>
  <c r="D149" i="1"/>
  <c r="E143" i="1"/>
  <c r="D144" i="1"/>
  <c r="D159" i="1"/>
  <c r="D164" i="1"/>
  <c r="E158" i="1"/>
  <c r="N158" i="1" s="1"/>
  <c r="E139" i="1" l="1"/>
  <c r="N139" i="1"/>
  <c r="N164" i="1"/>
  <c r="N144" i="1"/>
  <c r="E149" i="1"/>
  <c r="N149" i="1" s="1"/>
  <c r="D150" i="1"/>
  <c r="D160" i="1"/>
  <c r="E159" i="1"/>
  <c r="N159" i="1" s="1"/>
  <c r="D165" i="1"/>
  <c r="E164" i="1"/>
  <c r="D170" i="1"/>
  <c r="D145" i="1"/>
  <c r="E144" i="1"/>
  <c r="D155" i="1"/>
  <c r="E154" i="1"/>
  <c r="N154" i="1" s="1"/>
  <c r="N150" i="1" l="1"/>
  <c r="E145" i="1"/>
  <c r="N145" i="1"/>
  <c r="E155" i="1"/>
  <c r="N155" i="1" s="1"/>
  <c r="D156" i="1"/>
  <c r="D166" i="1"/>
  <c r="E165" i="1"/>
  <c r="N165" i="1" s="1"/>
  <c r="D161" i="1"/>
  <c r="E160" i="1"/>
  <c r="N160" i="1" s="1"/>
  <c r="D171" i="1"/>
  <c r="E170" i="1"/>
  <c r="N170" i="1" s="1"/>
  <c r="D176" i="1"/>
  <c r="D151" i="1"/>
  <c r="E150" i="1"/>
  <c r="E151" i="1" l="1"/>
  <c r="N151" i="1"/>
  <c r="N161" i="1"/>
  <c r="N171" i="1"/>
  <c r="E166" i="1"/>
  <c r="N166" i="1" s="1"/>
  <c r="D167" i="1"/>
  <c r="D177" i="1"/>
  <c r="D182" i="1"/>
  <c r="E176" i="1"/>
  <c r="N176" i="1" s="1"/>
  <c r="D172" i="1"/>
  <c r="E171" i="1"/>
  <c r="D162" i="1"/>
  <c r="E161" i="1"/>
  <c r="E156" i="1"/>
  <c r="N156" i="1" s="1"/>
  <c r="D157" i="1"/>
  <c r="E157" i="1" l="1"/>
  <c r="N157" i="1"/>
  <c r="N162" i="1"/>
  <c r="N172" i="1"/>
  <c r="D183" i="1"/>
  <c r="E182" i="1"/>
  <c r="N182" i="1" s="1"/>
  <c r="D188" i="1"/>
  <c r="E177" i="1"/>
  <c r="N177" i="1" s="1"/>
  <c r="D178" i="1"/>
  <c r="E162" i="1"/>
  <c r="D163" i="1"/>
  <c r="D173" i="1"/>
  <c r="E172" i="1"/>
  <c r="D168" i="1"/>
  <c r="E167" i="1"/>
  <c r="N167" i="1" s="1"/>
  <c r="N168" i="1" l="1"/>
  <c r="E163" i="1"/>
  <c r="N163" i="1"/>
  <c r="D174" i="1"/>
  <c r="E173" i="1"/>
  <c r="N173" i="1" s="1"/>
  <c r="D189" i="1"/>
  <c r="E188" i="1"/>
  <c r="N188" i="1" s="1"/>
  <c r="D194" i="1"/>
  <c r="D169" i="1"/>
  <c r="E168" i="1"/>
  <c r="E178" i="1"/>
  <c r="N178" i="1" s="1"/>
  <c r="D179" i="1"/>
  <c r="D184" i="1"/>
  <c r="E183" i="1"/>
  <c r="N183" i="1" s="1"/>
  <c r="N189" i="1" l="1"/>
  <c r="E169" i="1"/>
  <c r="N169" i="1"/>
  <c r="E184" i="1"/>
  <c r="N184" i="1" s="1"/>
  <c r="D185" i="1"/>
  <c r="D180" i="1"/>
  <c r="E179" i="1"/>
  <c r="N179" i="1" s="1"/>
  <c r="D195" i="1"/>
  <c r="D200" i="1"/>
  <c r="E194" i="1"/>
  <c r="N194" i="1" s="1"/>
  <c r="D190" i="1"/>
  <c r="E189" i="1"/>
  <c r="E174" i="1"/>
  <c r="N174" i="1" s="1"/>
  <c r="D175" i="1"/>
  <c r="E175" i="1" l="1"/>
  <c r="N175" i="1"/>
  <c r="E190" i="1"/>
  <c r="N190" i="1" s="1"/>
  <c r="D191" i="1"/>
  <c r="D201" i="1"/>
  <c r="E200" i="1"/>
  <c r="N200" i="1" s="1"/>
  <c r="D206" i="1"/>
  <c r="D196" i="1"/>
  <c r="E195" i="1"/>
  <c r="N195" i="1" s="1"/>
  <c r="E180" i="1"/>
  <c r="N180" i="1" s="1"/>
  <c r="D181" i="1"/>
  <c r="D186" i="1"/>
  <c r="E185" i="1"/>
  <c r="N185" i="1" s="1"/>
  <c r="E181" i="1" l="1"/>
  <c r="N181" i="1"/>
  <c r="D187" i="1"/>
  <c r="E186" i="1"/>
  <c r="N186" i="1" s="1"/>
  <c r="D197" i="1"/>
  <c r="E196" i="1"/>
  <c r="N196" i="1" s="1"/>
  <c r="D207" i="1"/>
  <c r="E206" i="1"/>
  <c r="N206" i="1" s="1"/>
  <c r="D212" i="1"/>
  <c r="D202" i="1"/>
  <c r="E201" i="1"/>
  <c r="N201" i="1" s="1"/>
  <c r="E191" i="1"/>
  <c r="N191" i="1" s="1"/>
  <c r="D192" i="1"/>
  <c r="E187" i="1" l="1"/>
  <c r="N187" i="1" s="1"/>
  <c r="N212" i="1"/>
  <c r="E192" i="1"/>
  <c r="N192" i="1" s="1"/>
  <c r="D193" i="1"/>
  <c r="D203" i="1"/>
  <c r="E202" i="1"/>
  <c r="N202" i="1" s="1"/>
  <c r="E207" i="1"/>
  <c r="N207" i="1" s="1"/>
  <c r="D208" i="1"/>
  <c r="D198" i="1"/>
  <c r="E197" i="1"/>
  <c r="N197" i="1" s="1"/>
  <c r="D213" i="1"/>
  <c r="E212" i="1"/>
  <c r="D218" i="1"/>
  <c r="E193" i="1" l="1"/>
  <c r="N193" i="1"/>
  <c r="N198" i="1"/>
  <c r="N208" i="1"/>
  <c r="E213" i="1"/>
  <c r="N213" i="1" s="1"/>
  <c r="D214" i="1"/>
  <c r="D219" i="1"/>
  <c r="E218" i="1"/>
  <c r="N218" i="1" s="1"/>
  <c r="D224" i="1"/>
  <c r="E198" i="1"/>
  <c r="D199" i="1"/>
  <c r="E208" i="1"/>
  <c r="D209" i="1"/>
  <c r="D204" i="1"/>
  <c r="E203" i="1"/>
  <c r="N203" i="1" s="1"/>
  <c r="E199" i="1" l="1"/>
  <c r="N199" i="1"/>
  <c r="D205" i="1"/>
  <c r="E204" i="1"/>
  <c r="N204" i="1" s="1"/>
  <c r="D215" i="1"/>
  <c r="E214" i="1"/>
  <c r="N214" i="1" s="1"/>
  <c r="E209" i="1"/>
  <c r="N209" i="1" s="1"/>
  <c r="D210" i="1"/>
  <c r="D225" i="1"/>
  <c r="E224" i="1"/>
  <c r="N224" i="1" s="1"/>
  <c r="D230" i="1"/>
  <c r="E219" i="1"/>
  <c r="N219" i="1" s="1"/>
  <c r="D220" i="1"/>
  <c r="E205" i="1" l="1"/>
  <c r="N205" i="1"/>
  <c r="N225" i="1"/>
  <c r="N210" i="1"/>
  <c r="E220" i="1"/>
  <c r="N220" i="1" s="1"/>
  <c r="D221" i="1"/>
  <c r="D231" i="1"/>
  <c r="E230" i="1"/>
  <c r="N230" i="1" s="1"/>
  <c r="D236" i="1"/>
  <c r="D226" i="1"/>
  <c r="E225" i="1"/>
  <c r="E210" i="1"/>
  <c r="D211" i="1"/>
  <c r="E215" i="1"/>
  <c r="N215" i="1" s="1"/>
  <c r="D216" i="1"/>
  <c r="E211" i="1" l="1"/>
  <c r="N211" i="1"/>
  <c r="D217" i="1"/>
  <c r="E216" i="1"/>
  <c r="N216" i="1" s="1"/>
  <c r="E226" i="1"/>
  <c r="N226" i="1" s="1"/>
  <c r="D227" i="1"/>
  <c r="D237" i="1"/>
  <c r="D242" i="1"/>
  <c r="E236" i="1"/>
  <c r="N236" i="1" s="1"/>
  <c r="D232" i="1"/>
  <c r="E231" i="1"/>
  <c r="N231" i="1" s="1"/>
  <c r="E221" i="1"/>
  <c r="N221" i="1" s="1"/>
  <c r="D222" i="1"/>
  <c r="E217" i="1" l="1"/>
  <c r="N217" i="1"/>
  <c r="N242" i="1"/>
  <c r="E222" i="1"/>
  <c r="N222" i="1" s="1"/>
  <c r="D223" i="1"/>
  <c r="D233" i="1"/>
  <c r="E232" i="1"/>
  <c r="N232" i="1" s="1"/>
  <c r="D243" i="1"/>
  <c r="D248" i="1"/>
  <c r="E242" i="1"/>
  <c r="D238" i="1"/>
  <c r="E237" i="1"/>
  <c r="N237" i="1" s="1"/>
  <c r="D228" i="1"/>
  <c r="E227" i="1"/>
  <c r="N227" i="1" s="1"/>
  <c r="E223" i="1" l="1"/>
  <c r="N223" i="1"/>
  <c r="N248" i="1"/>
  <c r="E228" i="1"/>
  <c r="N228" i="1" s="1"/>
  <c r="D229" i="1"/>
  <c r="E238" i="1"/>
  <c r="N238" i="1" s="1"/>
  <c r="D239" i="1"/>
  <c r="D249" i="1"/>
  <c r="E248" i="1"/>
  <c r="D254" i="1"/>
  <c r="D244" i="1"/>
  <c r="E243" i="1"/>
  <c r="N243" i="1" s="1"/>
  <c r="D234" i="1"/>
  <c r="E233" i="1"/>
  <c r="N233" i="1" s="1"/>
  <c r="E229" i="1" l="1"/>
  <c r="N229" i="1"/>
  <c r="N254" i="1"/>
  <c r="E234" i="1"/>
  <c r="N234" i="1" s="1"/>
  <c r="D235" i="1"/>
  <c r="D245" i="1"/>
  <c r="E244" i="1"/>
  <c r="N244" i="1" s="1"/>
  <c r="D255" i="1"/>
  <c r="E254" i="1"/>
  <c r="D260" i="1"/>
  <c r="E249" i="1"/>
  <c r="N249" i="1" s="1"/>
  <c r="D250" i="1"/>
  <c r="D240" i="1"/>
  <c r="E239" i="1"/>
  <c r="N239" i="1" s="1"/>
  <c r="E235" i="1" l="1"/>
  <c r="N235" i="1"/>
  <c r="E250" i="1"/>
  <c r="N250" i="1" s="1"/>
  <c r="D251" i="1"/>
  <c r="D261" i="1"/>
  <c r="E260" i="1"/>
  <c r="N260" i="1" s="1"/>
  <c r="D266" i="1"/>
  <c r="D256" i="1"/>
  <c r="E255" i="1"/>
  <c r="N255" i="1" s="1"/>
  <c r="E245" i="1"/>
  <c r="N245" i="1" s="1"/>
  <c r="D246" i="1"/>
  <c r="D241" i="1"/>
  <c r="E240" i="1"/>
  <c r="N240" i="1" s="1"/>
  <c r="E241" i="1" l="1"/>
  <c r="N241" i="1"/>
  <c r="E246" i="1"/>
  <c r="N246" i="1" s="1"/>
  <c r="D247" i="1"/>
  <c r="D257" i="1"/>
  <c r="E256" i="1"/>
  <c r="N256" i="1" s="1"/>
  <c r="D267" i="1"/>
  <c r="D272" i="1"/>
  <c r="E266" i="1"/>
  <c r="N266" i="1" s="1"/>
  <c r="E261" i="1"/>
  <c r="N261" i="1" s="1"/>
  <c r="D262" i="1"/>
  <c r="E251" i="1"/>
  <c r="N251" i="1" s="1"/>
  <c r="D252" i="1"/>
  <c r="E247" i="1" l="1"/>
  <c r="N247" i="1"/>
  <c r="N272" i="1"/>
  <c r="D253" i="1"/>
  <c r="E252" i="1"/>
  <c r="N252" i="1" s="1"/>
  <c r="E262" i="1"/>
  <c r="N262" i="1" s="1"/>
  <c r="D263" i="1"/>
  <c r="D273" i="1"/>
  <c r="E272" i="1"/>
  <c r="D278" i="1"/>
  <c r="D268" i="1"/>
  <c r="E267" i="1"/>
  <c r="N267" i="1" s="1"/>
  <c r="D258" i="1"/>
  <c r="E257" i="1"/>
  <c r="N257" i="1" s="1"/>
  <c r="E253" i="1" l="1"/>
  <c r="N253" i="1"/>
  <c r="N278" i="1"/>
  <c r="E258" i="1"/>
  <c r="N258" i="1" s="1"/>
  <c r="D259" i="1"/>
  <c r="D269" i="1"/>
  <c r="E268" i="1"/>
  <c r="N268" i="1" s="1"/>
  <c r="D279" i="1"/>
  <c r="E278" i="1"/>
  <c r="D284" i="1"/>
  <c r="D274" i="1"/>
  <c r="E273" i="1"/>
  <c r="N273" i="1" s="1"/>
  <c r="E263" i="1"/>
  <c r="N263" i="1" s="1"/>
  <c r="D264" i="1"/>
  <c r="E259" i="1" l="1"/>
  <c r="N259" i="1"/>
  <c r="D290" i="1"/>
  <c r="N284" i="1"/>
  <c r="E264" i="1"/>
  <c r="N264" i="1" s="1"/>
  <c r="D265" i="1"/>
  <c r="E274" i="1"/>
  <c r="N274" i="1" s="1"/>
  <c r="D275" i="1"/>
  <c r="D280" i="1"/>
  <c r="E279" i="1"/>
  <c r="N279" i="1" s="1"/>
  <c r="D270" i="1"/>
  <c r="E269" i="1"/>
  <c r="N269" i="1" s="1"/>
  <c r="E284" i="1"/>
  <c r="D285" i="1"/>
  <c r="E265" i="1" l="1"/>
  <c r="N265" i="1"/>
  <c r="D291" i="1"/>
  <c r="D296" i="1"/>
  <c r="E290" i="1"/>
  <c r="N290" i="1" s="1"/>
  <c r="N270" i="1"/>
  <c r="N280" i="1"/>
  <c r="D286" i="1"/>
  <c r="E285" i="1"/>
  <c r="N285" i="1" s="1"/>
  <c r="E270" i="1"/>
  <c r="D271" i="1"/>
  <c r="D281" i="1"/>
  <c r="E280" i="1"/>
  <c r="E275" i="1"/>
  <c r="N275" i="1" s="1"/>
  <c r="D276" i="1"/>
  <c r="N276" i="1" l="1"/>
  <c r="E296" i="1"/>
  <c r="N296" i="1" s="1"/>
  <c r="D302" i="1"/>
  <c r="D297" i="1"/>
  <c r="D292" i="1"/>
  <c r="E291" i="1"/>
  <c r="N291" i="1" s="1"/>
  <c r="N281" i="1"/>
  <c r="E271" i="1"/>
  <c r="N271" i="1"/>
  <c r="E276" i="1"/>
  <c r="D277" i="1"/>
  <c r="E281" i="1"/>
  <c r="D282" i="1"/>
  <c r="D287" i="1"/>
  <c r="E286" i="1"/>
  <c r="N286" i="1" s="1"/>
  <c r="D293" i="1" l="1"/>
  <c r="E292" i="1"/>
  <c r="N292" i="1" s="1"/>
  <c r="D298" i="1"/>
  <c r="E297" i="1"/>
  <c r="N297" i="1" s="1"/>
  <c r="N287" i="1"/>
  <c r="D303" i="1"/>
  <c r="E302" i="1"/>
  <c r="N302" i="1" s="1"/>
  <c r="D308" i="1"/>
  <c r="N282" i="1"/>
  <c r="E277" i="1"/>
  <c r="N277" i="1"/>
  <c r="E287" i="1"/>
  <c r="D288" i="1"/>
  <c r="E282" i="1"/>
  <c r="D283" i="1"/>
  <c r="D309" i="1" l="1"/>
  <c r="E308" i="1"/>
  <c r="N308" i="1" s="1"/>
  <c r="D314" i="1"/>
  <c r="D304" i="1"/>
  <c r="E303" i="1"/>
  <c r="N303" i="1" s="1"/>
  <c r="E283" i="1"/>
  <c r="N283" i="1" s="1"/>
  <c r="D299" i="1"/>
  <c r="E298" i="1"/>
  <c r="N298" i="1" s="1"/>
  <c r="D294" i="1"/>
  <c r="E293" i="1"/>
  <c r="N293" i="1" s="1"/>
  <c r="D289" i="1"/>
  <c r="E288" i="1"/>
  <c r="N288" i="1" s="1"/>
  <c r="N299" i="1" l="1"/>
  <c r="D300" i="1"/>
  <c r="E299" i="1"/>
  <c r="D305" i="1"/>
  <c r="E304" i="1"/>
  <c r="N304" i="1" s="1"/>
  <c r="E289" i="1"/>
  <c r="N289" i="1"/>
  <c r="D315" i="1"/>
  <c r="E314" i="1"/>
  <c r="N314" i="1" s="1"/>
  <c r="D320" i="1"/>
  <c r="N294" i="1"/>
  <c r="E294" i="1"/>
  <c r="D295" i="1"/>
  <c r="D310" i="1"/>
  <c r="E309" i="1"/>
  <c r="N309" i="1" s="1"/>
  <c r="D326" i="1" l="1"/>
  <c r="N320" i="1"/>
  <c r="D321" i="1"/>
  <c r="E320" i="1"/>
  <c r="D316" i="1"/>
  <c r="E315" i="1"/>
  <c r="N315" i="1" s="1"/>
  <c r="D311" i="1"/>
  <c r="E310" i="1"/>
  <c r="N310" i="1" s="1"/>
  <c r="E305" i="1"/>
  <c r="N305" i="1" s="1"/>
  <c r="D306" i="1"/>
  <c r="E295" i="1"/>
  <c r="N295" i="1"/>
  <c r="E300" i="1"/>
  <c r="N300" i="1" s="1"/>
  <c r="D301" i="1"/>
  <c r="D322" i="1" l="1"/>
  <c r="E321" i="1"/>
  <c r="N321" i="1" s="1"/>
  <c r="E311" i="1"/>
  <c r="N311" i="1" s="1"/>
  <c r="D312" i="1"/>
  <c r="E301" i="1"/>
  <c r="N301" i="1"/>
  <c r="D317" i="1"/>
  <c r="E316" i="1"/>
  <c r="N316" i="1" s="1"/>
  <c r="N306" i="1"/>
  <c r="D307" i="1"/>
  <c r="E306" i="1"/>
  <c r="D327" i="1"/>
  <c r="D332" i="1"/>
  <c r="E326" i="1"/>
  <c r="N326" i="1" s="1"/>
  <c r="D318" i="1" l="1"/>
  <c r="E317" i="1"/>
  <c r="N317" i="1" s="1"/>
  <c r="D323" i="1"/>
  <c r="E322" i="1"/>
  <c r="N322" i="1" s="1"/>
  <c r="D313" i="1"/>
  <c r="E312" i="1"/>
  <c r="N312" i="1" s="1"/>
  <c r="D333" i="1"/>
  <c r="E332" i="1"/>
  <c r="N332" i="1" s="1"/>
  <c r="D338" i="1"/>
  <c r="E327" i="1"/>
  <c r="N327" i="1" s="1"/>
  <c r="D328" i="1"/>
  <c r="E307" i="1"/>
  <c r="N307" i="1"/>
  <c r="E318" i="1" l="1"/>
  <c r="N318" i="1" s="1"/>
  <c r="D319" i="1"/>
  <c r="D334" i="1"/>
  <c r="E333" i="1"/>
  <c r="N333" i="1" s="1"/>
  <c r="E313" i="1"/>
  <c r="N313" i="1"/>
  <c r="N323" i="1"/>
  <c r="D324" i="1"/>
  <c r="E323" i="1"/>
  <c r="N328" i="1"/>
  <c r="E328" i="1"/>
  <c r="D329" i="1"/>
  <c r="N338" i="1"/>
  <c r="D339" i="1"/>
  <c r="E338" i="1"/>
  <c r="D344" i="1"/>
  <c r="D325" i="1" l="1"/>
  <c r="E324" i="1"/>
  <c r="N324" i="1" s="1"/>
  <c r="N344" i="1"/>
  <c r="D345" i="1"/>
  <c r="E344" i="1"/>
  <c r="D350" i="1"/>
  <c r="E334" i="1"/>
  <c r="N334" i="1" s="1"/>
  <c r="D335" i="1"/>
  <c r="N339" i="1"/>
  <c r="D340" i="1"/>
  <c r="E339" i="1"/>
  <c r="E319" i="1"/>
  <c r="N319" i="1"/>
  <c r="N329" i="1"/>
  <c r="D330" i="1"/>
  <c r="E329" i="1"/>
  <c r="D336" i="1" l="1"/>
  <c r="E335" i="1"/>
  <c r="N335" i="1" s="1"/>
  <c r="D351" i="1"/>
  <c r="E350" i="1"/>
  <c r="N350" i="1" s="1"/>
  <c r="D356" i="1"/>
  <c r="E340" i="1"/>
  <c r="N340" i="1" s="1"/>
  <c r="D341" i="1"/>
  <c r="N330" i="1"/>
  <c r="D331" i="1"/>
  <c r="E330" i="1"/>
  <c r="D346" i="1"/>
  <c r="E345" i="1"/>
  <c r="N345" i="1" s="1"/>
  <c r="E325" i="1"/>
  <c r="N325" i="1"/>
  <c r="D342" i="1" l="1"/>
  <c r="E341" i="1"/>
  <c r="N341" i="1" s="1"/>
  <c r="E331" i="1"/>
  <c r="N331" i="1"/>
  <c r="D362" i="1"/>
  <c r="E356" i="1"/>
  <c r="N356" i="1" s="1"/>
  <c r="D357" i="1"/>
  <c r="D337" i="1"/>
  <c r="E336" i="1"/>
  <c r="N336" i="1" s="1"/>
  <c r="D352" i="1"/>
  <c r="E351" i="1"/>
  <c r="N351" i="1" s="1"/>
  <c r="E346" i="1"/>
  <c r="N346" i="1" s="1"/>
  <c r="D347" i="1"/>
  <c r="E337" i="1" l="1"/>
  <c r="N337" i="1" s="1"/>
  <c r="E357" i="1"/>
  <c r="N357" i="1" s="1"/>
  <c r="D358" i="1"/>
  <c r="N347" i="1"/>
  <c r="D348" i="1"/>
  <c r="E347" i="1"/>
  <c r="D363" i="1"/>
  <c r="D368" i="1"/>
  <c r="E362" i="1"/>
  <c r="N362" i="1" s="1"/>
  <c r="N352" i="1"/>
  <c r="E352" i="1"/>
  <c r="D353" i="1"/>
  <c r="D343" i="1"/>
  <c r="E342" i="1"/>
  <c r="N342" i="1" s="1"/>
  <c r="E368" i="1" l="1"/>
  <c r="N368" i="1" s="1"/>
  <c r="D374" i="1"/>
  <c r="D369" i="1"/>
  <c r="N363" i="1"/>
  <c r="D364" i="1"/>
  <c r="E363" i="1"/>
  <c r="D349" i="1"/>
  <c r="E348" i="1"/>
  <c r="N348" i="1" s="1"/>
  <c r="E358" i="1"/>
  <c r="N358" i="1" s="1"/>
  <c r="D359" i="1"/>
  <c r="D354" i="1"/>
  <c r="E353" i="1"/>
  <c r="N353" i="1" s="1"/>
  <c r="E343" i="1"/>
  <c r="N343" i="1"/>
  <c r="E349" i="1" l="1"/>
  <c r="N349" i="1"/>
  <c r="E364" i="1"/>
  <c r="N364" i="1" s="1"/>
  <c r="D365" i="1"/>
  <c r="D370" i="1"/>
  <c r="E369" i="1"/>
  <c r="N369" i="1" s="1"/>
  <c r="D355" i="1"/>
  <c r="E354" i="1"/>
  <c r="N354" i="1" s="1"/>
  <c r="N374" i="1"/>
  <c r="E374" i="1"/>
  <c r="D380" i="1"/>
  <c r="D375" i="1"/>
  <c r="D360" i="1"/>
  <c r="E359" i="1"/>
  <c r="N359" i="1" s="1"/>
  <c r="E370" i="1" l="1"/>
  <c r="N370" i="1" s="1"/>
  <c r="D371" i="1"/>
  <c r="E355" i="1"/>
  <c r="N355" i="1" s="1"/>
  <c r="N360" i="1"/>
  <c r="D361" i="1"/>
  <c r="E360" i="1"/>
  <c r="E365" i="1"/>
  <c r="N365" i="1" s="1"/>
  <c r="D366" i="1"/>
  <c r="N375" i="1"/>
  <c r="E375" i="1"/>
  <c r="D376" i="1"/>
  <c r="E380" i="1"/>
  <c r="N380" i="1" s="1"/>
  <c r="D381" i="1"/>
  <c r="D386" i="1"/>
  <c r="E366" i="1" l="1"/>
  <c r="N366" i="1" s="1"/>
  <c r="D367" i="1"/>
  <c r="E361" i="1"/>
  <c r="N361" i="1"/>
  <c r="D392" i="1"/>
  <c r="E386" i="1"/>
  <c r="N386" i="1" s="1"/>
  <c r="D387" i="1"/>
  <c r="E381" i="1"/>
  <c r="N381" i="1" s="1"/>
  <c r="D382" i="1"/>
  <c r="D372" i="1"/>
  <c r="E371" i="1"/>
  <c r="N371" i="1" s="1"/>
  <c r="E376" i="1"/>
  <c r="N376" i="1" s="1"/>
  <c r="D377" i="1"/>
  <c r="E382" i="1" l="1"/>
  <c r="N382" i="1" s="1"/>
  <c r="D383" i="1"/>
  <c r="D388" i="1"/>
  <c r="E387" i="1"/>
  <c r="N387" i="1" s="1"/>
  <c r="D398" i="1"/>
  <c r="N392" i="1"/>
  <c r="E392" i="1"/>
  <c r="D393" i="1"/>
  <c r="N377" i="1"/>
  <c r="E377" i="1"/>
  <c r="D378" i="1"/>
  <c r="E367" i="1"/>
  <c r="N367" i="1"/>
  <c r="N372" i="1"/>
  <c r="E372" i="1"/>
  <c r="D373" i="1"/>
  <c r="E393" i="1" l="1"/>
  <c r="N393" i="1" s="1"/>
  <c r="D394" i="1"/>
  <c r="E398" i="1"/>
  <c r="N398" i="1" s="1"/>
  <c r="D399" i="1"/>
  <c r="D404" i="1"/>
  <c r="E373" i="1"/>
  <c r="N373" i="1" s="1"/>
  <c r="E388" i="1"/>
  <c r="N388" i="1" s="1"/>
  <c r="D389" i="1"/>
  <c r="E383" i="1"/>
  <c r="N383" i="1" s="1"/>
  <c r="D384" i="1"/>
  <c r="N378" i="1"/>
  <c r="D379" i="1"/>
  <c r="E378" i="1"/>
  <c r="E389" i="1" l="1"/>
  <c r="N389" i="1" s="1"/>
  <c r="D390" i="1"/>
  <c r="N399" i="1"/>
  <c r="E399" i="1"/>
  <c r="D400" i="1"/>
  <c r="E379" i="1"/>
  <c r="N379" i="1" s="1"/>
  <c r="D410" i="1"/>
  <c r="E404" i="1"/>
  <c r="N404" i="1" s="1"/>
  <c r="D405" i="1"/>
  <c r="D385" i="1"/>
  <c r="E384" i="1"/>
  <c r="N384" i="1" s="1"/>
  <c r="N394" i="1"/>
  <c r="D395" i="1"/>
  <c r="E394" i="1"/>
  <c r="D406" i="1" l="1"/>
  <c r="E405" i="1"/>
  <c r="N405" i="1" s="1"/>
  <c r="D416" i="1"/>
  <c r="E410" i="1"/>
  <c r="N410" i="1" s="1"/>
  <c r="D411" i="1"/>
  <c r="E400" i="1"/>
  <c r="N400" i="1" s="1"/>
  <c r="D401" i="1"/>
  <c r="N395" i="1"/>
  <c r="D396" i="1"/>
  <c r="E395" i="1"/>
  <c r="E390" i="1"/>
  <c r="N390" i="1" s="1"/>
  <c r="D391" i="1"/>
  <c r="E385" i="1"/>
  <c r="N385" i="1"/>
  <c r="E396" i="1" l="1"/>
  <c r="N396" i="1" s="1"/>
  <c r="D397" i="1"/>
  <c r="N401" i="1"/>
  <c r="D402" i="1"/>
  <c r="E401" i="1"/>
  <c r="N411" i="1"/>
  <c r="D412" i="1"/>
  <c r="E411" i="1"/>
  <c r="D422" i="1"/>
  <c r="E416" i="1"/>
  <c r="N416" i="1" s="1"/>
  <c r="D417" i="1"/>
  <c r="E391" i="1"/>
  <c r="N391" i="1"/>
  <c r="N406" i="1"/>
  <c r="E406" i="1"/>
  <c r="D407" i="1"/>
  <c r="E422" i="1" l="1"/>
  <c r="N422" i="1" s="1"/>
  <c r="D428" i="1"/>
  <c r="D423" i="1"/>
  <c r="E412" i="1"/>
  <c r="N412" i="1" s="1"/>
  <c r="D413" i="1"/>
  <c r="E407" i="1"/>
  <c r="N407" i="1" s="1"/>
  <c r="D408" i="1"/>
  <c r="E402" i="1"/>
  <c r="N402" i="1" s="1"/>
  <c r="D403" i="1"/>
  <c r="E397" i="1"/>
  <c r="N397" i="1"/>
  <c r="D418" i="1"/>
  <c r="E417" i="1"/>
  <c r="N417" i="1" s="1"/>
  <c r="E418" i="1" l="1"/>
  <c r="N418" i="1" s="1"/>
  <c r="D419" i="1"/>
  <c r="N408" i="1"/>
  <c r="E408" i="1"/>
  <c r="D409" i="1"/>
  <c r="N413" i="1"/>
  <c r="E413" i="1"/>
  <c r="D414" i="1"/>
  <c r="D424" i="1"/>
  <c r="E423" i="1"/>
  <c r="N423" i="1" s="1"/>
  <c r="D434" i="1"/>
  <c r="E428" i="1"/>
  <c r="N428" i="1" s="1"/>
  <c r="D429" i="1"/>
  <c r="E403" i="1"/>
  <c r="N403" i="1"/>
  <c r="E424" i="1" l="1"/>
  <c r="N424" i="1" s="1"/>
  <c r="D425" i="1"/>
  <c r="N414" i="1"/>
  <c r="D415" i="1"/>
  <c r="E414" i="1"/>
  <c r="E409" i="1"/>
  <c r="N409" i="1" s="1"/>
  <c r="D430" i="1"/>
  <c r="E429" i="1"/>
  <c r="N429" i="1" s="1"/>
  <c r="N419" i="1"/>
  <c r="E419" i="1"/>
  <c r="D420" i="1"/>
  <c r="D435" i="1"/>
  <c r="N434" i="1"/>
  <c r="D440" i="1"/>
  <c r="E434" i="1"/>
  <c r="D431" i="1" l="1"/>
  <c r="E430" i="1"/>
  <c r="N430" i="1" s="1"/>
  <c r="D441" i="1"/>
  <c r="E440" i="1"/>
  <c r="N440" i="1" s="1"/>
  <c r="D446" i="1"/>
  <c r="E415" i="1"/>
  <c r="N415" i="1" s="1"/>
  <c r="E435" i="1"/>
  <c r="N435" i="1" s="1"/>
  <c r="D436" i="1"/>
  <c r="E425" i="1"/>
  <c r="N425" i="1" s="1"/>
  <c r="D426" i="1"/>
  <c r="D421" i="1"/>
  <c r="E420" i="1"/>
  <c r="N420" i="1" s="1"/>
  <c r="E436" i="1" l="1"/>
  <c r="N436" i="1" s="1"/>
  <c r="D437" i="1"/>
  <c r="D447" i="1"/>
  <c r="E446" i="1"/>
  <c r="N446" i="1" s="1"/>
  <c r="D452" i="1"/>
  <c r="E421" i="1"/>
  <c r="N421" i="1"/>
  <c r="E441" i="1"/>
  <c r="N441" i="1" s="1"/>
  <c r="D442" i="1"/>
  <c r="D427" i="1"/>
  <c r="E426" i="1"/>
  <c r="N426" i="1" s="1"/>
  <c r="D432" i="1"/>
  <c r="E431" i="1"/>
  <c r="N431" i="1" s="1"/>
  <c r="D443" i="1" l="1"/>
  <c r="E442" i="1"/>
  <c r="N442" i="1" s="1"/>
  <c r="D458" i="1"/>
  <c r="D453" i="1"/>
  <c r="E452" i="1"/>
  <c r="N452" i="1" s="1"/>
  <c r="D433" i="1"/>
  <c r="E432" i="1"/>
  <c r="N432" i="1" s="1"/>
  <c r="N447" i="1"/>
  <c r="D448" i="1"/>
  <c r="E447" i="1"/>
  <c r="E437" i="1"/>
  <c r="N437" i="1" s="1"/>
  <c r="D438" i="1"/>
  <c r="E427" i="1"/>
  <c r="N427" i="1"/>
  <c r="D449" i="1" l="1"/>
  <c r="E448" i="1"/>
  <c r="N448" i="1" s="1"/>
  <c r="E433" i="1"/>
  <c r="N433" i="1" s="1"/>
  <c r="E453" i="1"/>
  <c r="N453" i="1" s="1"/>
  <c r="D454" i="1"/>
  <c r="D459" i="1"/>
  <c r="E458" i="1"/>
  <c r="N458" i="1" s="1"/>
  <c r="D464" i="1"/>
  <c r="D439" i="1"/>
  <c r="E438" i="1"/>
  <c r="N438" i="1" s="1"/>
  <c r="D444" i="1"/>
  <c r="E443" i="1"/>
  <c r="N443" i="1" s="1"/>
  <c r="D460" i="1" l="1"/>
  <c r="E459" i="1"/>
  <c r="N459" i="1" s="1"/>
  <c r="D465" i="1"/>
  <c r="E464" i="1"/>
  <c r="N464" i="1" s="1"/>
  <c r="N454" i="1"/>
  <c r="D455" i="1"/>
  <c r="E454" i="1"/>
  <c r="E439" i="1"/>
  <c r="N439" i="1" s="1"/>
  <c r="N449" i="1"/>
  <c r="D450" i="1"/>
  <c r="E449" i="1"/>
  <c r="D445" i="1"/>
  <c r="E444" i="1"/>
  <c r="N444" i="1" s="1"/>
  <c r="N455" i="1" l="1"/>
  <c r="D456" i="1"/>
  <c r="E455" i="1"/>
  <c r="E465" i="1"/>
  <c r="N465" i="1" s="1"/>
  <c r="D466" i="1"/>
  <c r="E445" i="1"/>
  <c r="N445" i="1" s="1"/>
  <c r="E460" i="1"/>
  <c r="N460" i="1" s="1"/>
  <c r="D461" i="1"/>
  <c r="D451" i="1"/>
  <c r="E450" i="1"/>
  <c r="N450" i="1" s="1"/>
  <c r="E461" i="1" l="1"/>
  <c r="N461" i="1" s="1"/>
  <c r="D462" i="1"/>
  <c r="E451" i="1"/>
  <c r="N451" i="1" s="1"/>
  <c r="E456" i="1"/>
  <c r="N456" i="1" s="1"/>
  <c r="D457" i="1"/>
  <c r="D467" i="1"/>
  <c r="E466" i="1"/>
  <c r="N466" i="1" s="1"/>
  <c r="D468" i="1" l="1"/>
  <c r="E467" i="1"/>
  <c r="N467" i="1" s="1"/>
  <c r="E457" i="1"/>
  <c r="N457" i="1"/>
  <c r="E462" i="1"/>
  <c r="N462" i="1" s="1"/>
  <c r="D463" i="1"/>
  <c r="E463" i="1" l="1"/>
  <c r="N463" i="1"/>
  <c r="D469" i="1"/>
  <c r="E468" i="1"/>
  <c r="N468" i="1" s="1"/>
  <c r="E469" i="1" l="1"/>
  <c r="N469" i="1"/>
</calcChain>
</file>

<file path=xl/sharedStrings.xml><?xml version="1.0" encoding="utf-8"?>
<sst xmlns="http://schemas.openxmlformats.org/spreadsheetml/2006/main" count="1096" uniqueCount="29">
  <si>
    <t>Booking</t>
  </si>
  <si>
    <t>Platform</t>
  </si>
  <si>
    <t>Time frame</t>
  </si>
  <si>
    <t>Dec 7 - Jan 7</t>
  </si>
  <si>
    <t>VRBO</t>
  </si>
  <si>
    <t>Property</t>
  </si>
  <si>
    <t>Wilderness</t>
  </si>
  <si>
    <t>Airbnb</t>
  </si>
  <si>
    <t>Impressions</t>
  </si>
  <si>
    <t>Property views</t>
  </si>
  <si>
    <t>Cape Town</t>
  </si>
  <si>
    <t>Booking rate</t>
  </si>
  <si>
    <t>View rate</t>
  </si>
  <si>
    <t>Dec 23 - Jan 23</t>
  </si>
  <si>
    <t>St dt</t>
  </si>
  <si>
    <t>En dt</t>
  </si>
  <si>
    <t>Include</t>
  </si>
  <si>
    <t>Y</t>
  </si>
  <si>
    <t>Column Labels</t>
  </si>
  <si>
    <t>Grand Total</t>
  </si>
  <si>
    <t>Row Labels</t>
  </si>
  <si>
    <t>Index</t>
  </si>
  <si>
    <t>Cancellations</t>
  </si>
  <si>
    <t>Sum of Property views</t>
  </si>
  <si>
    <t>Period</t>
  </si>
  <si>
    <t>Sum of Booking</t>
  </si>
  <si>
    <t>Sum of Impressions</t>
  </si>
  <si>
    <t>Sum of View rate Calc</t>
  </si>
  <si>
    <t>Sum of Booking rate vs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</si>
</sst>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2" applyNumberFormat="1" applyFont="1"/>
    <xf numFmtId="164" fontId="0" fillId="0" borderId="0" xfId="1" applyNumberFormat="1" applyFon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64" fontId="0" fillId="0" borderId="0" xfId="0" applyNumberFormat="1"/>
    <xf numFmtId="43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1" applyNumberFormat="1" applyFont="1"/>
    <xf numFmtId="0" fontId="0" fillId="0" borderId="0" xfId="0" applyNumberFormat="1"/>
    <xf numFmtId="164" fontId="0" fillId="0" borderId="0" xfId="0" pivotButton="1" applyNumberFormat="1"/>
    <xf numFmtId="14" fontId="0" fillId="0" borderId="0" xfId="0" pivotButton="1" applyNumberFormat="1"/>
  </cellXfs>
  <cellStyles count="3">
    <cellStyle name="Comma" xfId="1" builtinId="3"/>
    <cellStyle name="Normal" xfId="0" builtinId="0"/>
    <cellStyle name="Percent" xfId="2" builtinId="5"/>
  </cellStyles>
  <dxfs count="77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3" formatCode="0%"/>
    </dxf>
    <dxf>
      <numFmt numFmtId="14" formatCode="0.00%"/>
    </dxf>
    <dxf>
      <numFmt numFmtId="14" formatCode="0.00%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4" formatCode="0.00%"/>
    </dxf>
    <dxf>
      <numFmt numFmtId="14" formatCode="0.00%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4" formatCode="0.00%"/>
    </dxf>
    <dxf>
      <numFmt numFmtId="14" formatCode="0.00%"/>
    </dxf>
    <dxf>
      <numFmt numFmtId="13" formatCode="0%"/>
    </dxf>
  </dxfs>
  <tableStyles count="1" defaultTableStyle="TableStyleMedium2" defaultPivotStyle="PivotStyleLight16">
    <tableStyle name="Invisible" pivot="0" table="0" count="0" xr9:uid="{CC8B3301-B467-4CA0-8998-21110DD99B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[Deon booking summary.xlsx]Pivot!PivotTable2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Airbnb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Pivot!$A$5:$A$19</c:f>
              <c:strCache>
                <c:ptCount val="14"/>
                <c:pt idx="0">
                  <c:v>12/7/2025</c:v>
                </c:pt>
                <c:pt idx="1">
                  <c:v>12/23/2025</c:v>
                </c:pt>
                <c:pt idx="2">
                  <c:v>1/25/2026</c:v>
                </c:pt>
                <c:pt idx="3">
                  <c:v>1/26/2026</c:v>
                </c:pt>
                <c:pt idx="4">
                  <c:v>1/27/2026</c:v>
                </c:pt>
                <c:pt idx="5">
                  <c:v>1/28/2026</c:v>
                </c:pt>
                <c:pt idx="6">
                  <c:v>2/5/2026</c:v>
                </c:pt>
                <c:pt idx="7">
                  <c:v>2/7/2026</c:v>
                </c:pt>
                <c:pt idx="8">
                  <c:v>2/8/2026</c:v>
                </c:pt>
                <c:pt idx="9">
                  <c:v>2/9/2026</c:v>
                </c:pt>
                <c:pt idx="10">
                  <c:v>2/10/2026</c:v>
                </c:pt>
                <c:pt idx="11">
                  <c:v>2/11/2026</c:v>
                </c:pt>
                <c:pt idx="12">
                  <c:v>2/12/2026</c:v>
                </c:pt>
                <c:pt idx="13">
                  <c:v>2/13/2026</c:v>
                </c:pt>
              </c:strCache>
            </c:strRef>
          </c:cat>
          <c:val>
            <c:numRef>
              <c:f>Pivot!$B$5:$B$19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E-4AFB-A721-228617C401EC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Booking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Pivot!$A$5:$A$19</c:f>
              <c:strCache>
                <c:ptCount val="14"/>
                <c:pt idx="0">
                  <c:v>12/7/2025</c:v>
                </c:pt>
                <c:pt idx="1">
                  <c:v>12/23/2025</c:v>
                </c:pt>
                <c:pt idx="2">
                  <c:v>1/25/2026</c:v>
                </c:pt>
                <c:pt idx="3">
                  <c:v>1/26/2026</c:v>
                </c:pt>
                <c:pt idx="4">
                  <c:v>1/27/2026</c:v>
                </c:pt>
                <c:pt idx="5">
                  <c:v>1/28/2026</c:v>
                </c:pt>
                <c:pt idx="6">
                  <c:v>2/5/2026</c:v>
                </c:pt>
                <c:pt idx="7">
                  <c:v>2/7/2026</c:v>
                </c:pt>
                <c:pt idx="8">
                  <c:v>2/8/2026</c:v>
                </c:pt>
                <c:pt idx="9">
                  <c:v>2/9/2026</c:v>
                </c:pt>
                <c:pt idx="10">
                  <c:v>2/10/2026</c:v>
                </c:pt>
                <c:pt idx="11">
                  <c:v>2/11/2026</c:v>
                </c:pt>
                <c:pt idx="12">
                  <c:v>2/12/2026</c:v>
                </c:pt>
                <c:pt idx="13">
                  <c:v>2/13/2026</c:v>
                </c:pt>
              </c:strCache>
            </c:strRef>
          </c:cat>
          <c:val>
            <c:numRef>
              <c:f>Pivot!$C$5:$C$19</c:f>
              <c:numCache>
                <c:formatCode>_(* #,##0_);_(* \(#,##0\);_(* "-"??_);_(@_)</c:formatCode>
                <c:ptCount val="14"/>
                <c:pt idx="0">
                  <c:v>87780</c:v>
                </c:pt>
                <c:pt idx="1">
                  <c:v>90180</c:v>
                </c:pt>
                <c:pt idx="2">
                  <c:v>86330</c:v>
                </c:pt>
                <c:pt idx="3">
                  <c:v>84085</c:v>
                </c:pt>
                <c:pt idx="4">
                  <c:v>80592</c:v>
                </c:pt>
                <c:pt idx="5">
                  <c:v>82592</c:v>
                </c:pt>
                <c:pt idx="6">
                  <c:v>121333</c:v>
                </c:pt>
                <c:pt idx="7">
                  <c:v>121200</c:v>
                </c:pt>
                <c:pt idx="8">
                  <c:v>124323</c:v>
                </c:pt>
                <c:pt idx="9">
                  <c:v>120225</c:v>
                </c:pt>
                <c:pt idx="10">
                  <c:v>58369</c:v>
                </c:pt>
                <c:pt idx="11">
                  <c:v>117144</c:v>
                </c:pt>
                <c:pt idx="12">
                  <c:v>117512</c:v>
                </c:pt>
                <c:pt idx="13">
                  <c:v>117226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E-4AFB-A721-228617C401EC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VRBO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Pivot!$A$5:$A$19</c:f>
              <c:strCache>
                <c:ptCount val="14"/>
                <c:pt idx="0">
                  <c:v>12/7/2025</c:v>
                </c:pt>
                <c:pt idx="1">
                  <c:v>12/23/2025</c:v>
                </c:pt>
                <c:pt idx="2">
                  <c:v>1/25/2026</c:v>
                </c:pt>
                <c:pt idx="3">
                  <c:v>1/26/2026</c:v>
                </c:pt>
                <c:pt idx="4">
                  <c:v>1/27/2026</c:v>
                </c:pt>
                <c:pt idx="5">
                  <c:v>1/28/2026</c:v>
                </c:pt>
                <c:pt idx="6">
                  <c:v>2/5/2026</c:v>
                </c:pt>
                <c:pt idx="7">
                  <c:v>2/7/2026</c:v>
                </c:pt>
                <c:pt idx="8">
                  <c:v>2/8/2026</c:v>
                </c:pt>
                <c:pt idx="9">
                  <c:v>2/9/2026</c:v>
                </c:pt>
                <c:pt idx="10">
                  <c:v>2/10/2026</c:v>
                </c:pt>
                <c:pt idx="11">
                  <c:v>2/11/2026</c:v>
                </c:pt>
                <c:pt idx="12">
                  <c:v>2/12/2026</c:v>
                </c:pt>
                <c:pt idx="13">
                  <c:v>2/13/2026</c:v>
                </c:pt>
              </c:strCache>
            </c:strRef>
          </c:cat>
          <c:val>
            <c:numRef>
              <c:f>Pivot!$D$5:$D$19</c:f>
              <c:numCache>
                <c:formatCode>_(* #,##0_);_(* \(#,##0\);_(* "-"??_);_(@_)</c:formatCode>
                <c:ptCount val="14"/>
                <c:pt idx="0">
                  <c:v>585</c:v>
                </c:pt>
                <c:pt idx="1">
                  <c:v>580</c:v>
                </c:pt>
                <c:pt idx="2">
                  <c:v>586</c:v>
                </c:pt>
                <c:pt idx="3">
                  <c:v>577</c:v>
                </c:pt>
                <c:pt idx="4">
                  <c:v>567</c:v>
                </c:pt>
                <c:pt idx="5">
                  <c:v>539</c:v>
                </c:pt>
                <c:pt idx="6">
                  <c:v>420</c:v>
                </c:pt>
                <c:pt idx="7">
                  <c:v>369</c:v>
                </c:pt>
                <c:pt idx="8">
                  <c:v>355</c:v>
                </c:pt>
                <c:pt idx="9">
                  <c:v>358</c:v>
                </c:pt>
                <c:pt idx="10">
                  <c:v>359</c:v>
                </c:pt>
                <c:pt idx="11">
                  <c:v>363</c:v>
                </c:pt>
                <c:pt idx="12">
                  <c:v>335</c:v>
                </c:pt>
                <c:pt idx="13">
                  <c:v>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5E-4AFB-A721-228617C40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467632"/>
        <c:axId val="764471952"/>
      </c:lineChart>
      <c:catAx>
        <c:axId val="76446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71952"/>
        <c:crosses val="autoZero"/>
        <c:auto val="1"/>
        <c:lblAlgn val="ctr"/>
        <c:lblOffset val="100"/>
        <c:noMultiLvlLbl val="0"/>
      </c:catAx>
      <c:valAx>
        <c:axId val="76447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6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[Deon booking summary.xlsx]Pivot!PivotTable20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Pivot!$N$3:$N$4</c:f>
              <c:strCache>
                <c:ptCount val="1"/>
                <c:pt idx="0">
                  <c:v>Airbnb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Pivot!$M$5:$M$19</c:f>
              <c:strCache>
                <c:ptCount val="14"/>
                <c:pt idx="0">
                  <c:v>12/7/2025</c:v>
                </c:pt>
                <c:pt idx="1">
                  <c:v>12/23/2025</c:v>
                </c:pt>
                <c:pt idx="2">
                  <c:v>1/25/2026</c:v>
                </c:pt>
                <c:pt idx="3">
                  <c:v>1/26/2026</c:v>
                </c:pt>
                <c:pt idx="4">
                  <c:v>1/27/2026</c:v>
                </c:pt>
                <c:pt idx="5">
                  <c:v>1/28/2026</c:v>
                </c:pt>
                <c:pt idx="6">
                  <c:v>2/5/2026</c:v>
                </c:pt>
                <c:pt idx="7">
                  <c:v>2/7/2026</c:v>
                </c:pt>
                <c:pt idx="8">
                  <c:v>2/8/2026</c:v>
                </c:pt>
                <c:pt idx="9">
                  <c:v>2/9/2026</c:v>
                </c:pt>
                <c:pt idx="10">
                  <c:v>2/10/2026</c:v>
                </c:pt>
                <c:pt idx="11">
                  <c:v>2/11/2026</c:v>
                </c:pt>
                <c:pt idx="12">
                  <c:v>2/12/2026</c:v>
                </c:pt>
                <c:pt idx="13">
                  <c:v>2/13/2026</c:v>
                </c:pt>
              </c:strCache>
            </c:strRef>
          </c:cat>
          <c:val>
            <c:numRef>
              <c:f>Pivot!$N$5:$N$19</c:f>
              <c:numCache>
                <c:formatCode>_(* #,##0_);_(* \(#,##0\);_(* "-"??_);_(@_)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B-4D00-B127-327C64A2030B}"/>
            </c:ext>
          </c:extLst>
        </c:ser>
        <c:ser>
          <c:idx val="1"/>
          <c:order val="1"/>
          <c:tx>
            <c:strRef>
              <c:f>Pivot!$O$3:$O$4</c:f>
              <c:strCache>
                <c:ptCount val="1"/>
                <c:pt idx="0">
                  <c:v>Booking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Pivot!$M$5:$M$19</c:f>
              <c:strCache>
                <c:ptCount val="14"/>
                <c:pt idx="0">
                  <c:v>12/7/2025</c:v>
                </c:pt>
                <c:pt idx="1">
                  <c:v>12/23/2025</c:v>
                </c:pt>
                <c:pt idx="2">
                  <c:v>1/25/2026</c:v>
                </c:pt>
                <c:pt idx="3">
                  <c:v>1/26/2026</c:v>
                </c:pt>
                <c:pt idx="4">
                  <c:v>1/27/2026</c:v>
                </c:pt>
                <c:pt idx="5">
                  <c:v>1/28/2026</c:v>
                </c:pt>
                <c:pt idx="6">
                  <c:v>2/5/2026</c:v>
                </c:pt>
                <c:pt idx="7">
                  <c:v>2/7/2026</c:v>
                </c:pt>
                <c:pt idx="8">
                  <c:v>2/8/2026</c:v>
                </c:pt>
                <c:pt idx="9">
                  <c:v>2/9/2026</c:v>
                </c:pt>
                <c:pt idx="10">
                  <c:v>2/10/2026</c:v>
                </c:pt>
                <c:pt idx="11">
                  <c:v>2/11/2026</c:v>
                </c:pt>
                <c:pt idx="12">
                  <c:v>2/12/2026</c:v>
                </c:pt>
                <c:pt idx="13">
                  <c:v>2/13/2026</c:v>
                </c:pt>
              </c:strCache>
            </c:strRef>
          </c:cat>
          <c:val>
            <c:numRef>
              <c:f>Pivot!$O$5:$O$19</c:f>
              <c:numCache>
                <c:formatCode>_(* #,##0_);_(* \(#,##0\);_(* "-"??_);_(@_)</c:formatCode>
                <c:ptCount val="14"/>
                <c:pt idx="0">
                  <c:v>13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21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17</c:v>
                </c:pt>
                <c:pt idx="11">
                  <c:v>17</c:v>
                </c:pt>
                <c:pt idx="12">
                  <c:v>18</c:v>
                </c:pt>
                <c:pt idx="1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B-4D00-B127-327C64A2030B}"/>
            </c:ext>
          </c:extLst>
        </c:ser>
        <c:ser>
          <c:idx val="2"/>
          <c:order val="2"/>
          <c:tx>
            <c:strRef>
              <c:f>Pivot!$P$3:$P$4</c:f>
              <c:strCache>
                <c:ptCount val="1"/>
                <c:pt idx="0">
                  <c:v>VRBO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Pivot!$M$5:$M$19</c:f>
              <c:strCache>
                <c:ptCount val="14"/>
                <c:pt idx="0">
                  <c:v>12/7/2025</c:v>
                </c:pt>
                <c:pt idx="1">
                  <c:v>12/23/2025</c:v>
                </c:pt>
                <c:pt idx="2">
                  <c:v>1/25/2026</c:v>
                </c:pt>
                <c:pt idx="3">
                  <c:v>1/26/2026</c:v>
                </c:pt>
                <c:pt idx="4">
                  <c:v>1/27/2026</c:v>
                </c:pt>
                <c:pt idx="5">
                  <c:v>1/28/2026</c:v>
                </c:pt>
                <c:pt idx="6">
                  <c:v>2/5/2026</c:v>
                </c:pt>
                <c:pt idx="7">
                  <c:v>2/7/2026</c:v>
                </c:pt>
                <c:pt idx="8">
                  <c:v>2/8/2026</c:v>
                </c:pt>
                <c:pt idx="9">
                  <c:v>2/9/2026</c:v>
                </c:pt>
                <c:pt idx="10">
                  <c:v>2/10/2026</c:v>
                </c:pt>
                <c:pt idx="11">
                  <c:v>2/11/2026</c:v>
                </c:pt>
                <c:pt idx="12">
                  <c:v>2/12/2026</c:v>
                </c:pt>
                <c:pt idx="13">
                  <c:v>2/13/2026</c:v>
                </c:pt>
              </c:strCache>
            </c:strRef>
          </c:cat>
          <c:val>
            <c:numRef>
              <c:f>Pivot!$P$5:$P$19</c:f>
              <c:numCache>
                <c:formatCode>_(* #,##0_);_(* \(#,##0\);_(* "-"??_);_(@_)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3B-4D00-B127-327C64A20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85200"/>
        <c:axId val="77787120"/>
      </c:lineChart>
      <c:catAx>
        <c:axId val="7778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7120"/>
        <c:crosses val="autoZero"/>
        <c:auto val="1"/>
        <c:lblAlgn val="ctr"/>
        <c:lblOffset val="100"/>
        <c:noMultiLvlLbl val="0"/>
      </c:catAx>
      <c:valAx>
        <c:axId val="777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[Deon booking summary.xlsx]Pivot!PivotTable19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Pivot!$H$3:$H$4</c:f>
              <c:strCache>
                <c:ptCount val="1"/>
                <c:pt idx="0">
                  <c:v>Airbnb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Pivot!$G$5:$G$19</c:f>
              <c:strCache>
                <c:ptCount val="14"/>
                <c:pt idx="0">
                  <c:v>12/7/2025</c:v>
                </c:pt>
                <c:pt idx="1">
                  <c:v>12/23/2025</c:v>
                </c:pt>
                <c:pt idx="2">
                  <c:v>1/25/2026</c:v>
                </c:pt>
                <c:pt idx="3">
                  <c:v>1/26/2026</c:v>
                </c:pt>
                <c:pt idx="4">
                  <c:v>1/27/2026</c:v>
                </c:pt>
                <c:pt idx="5">
                  <c:v>1/28/2026</c:v>
                </c:pt>
                <c:pt idx="6">
                  <c:v>2/5/2026</c:v>
                </c:pt>
                <c:pt idx="7">
                  <c:v>2/7/2026</c:v>
                </c:pt>
                <c:pt idx="8">
                  <c:v>2/8/2026</c:v>
                </c:pt>
                <c:pt idx="9">
                  <c:v>2/9/2026</c:v>
                </c:pt>
                <c:pt idx="10">
                  <c:v>2/10/2026</c:v>
                </c:pt>
                <c:pt idx="11">
                  <c:v>2/11/2026</c:v>
                </c:pt>
                <c:pt idx="12">
                  <c:v>2/12/2026</c:v>
                </c:pt>
                <c:pt idx="13">
                  <c:v>2/13/2026</c:v>
                </c:pt>
              </c:strCache>
            </c:strRef>
          </c:cat>
          <c:val>
            <c:numRef>
              <c:f>Pivot!$H$5:$H$19</c:f>
              <c:numCache>
                <c:formatCode>_(* #,##0_);_(* \(#,##0\);_(* "-"??_);_(@_)</c:formatCode>
                <c:ptCount val="14"/>
                <c:pt idx="0">
                  <c:v>229</c:v>
                </c:pt>
                <c:pt idx="1">
                  <c:v>286</c:v>
                </c:pt>
                <c:pt idx="2">
                  <c:v>289</c:v>
                </c:pt>
                <c:pt idx="3">
                  <c:v>284</c:v>
                </c:pt>
                <c:pt idx="4">
                  <c:v>259</c:v>
                </c:pt>
                <c:pt idx="5">
                  <c:v>259</c:v>
                </c:pt>
                <c:pt idx="6">
                  <c:v>182</c:v>
                </c:pt>
                <c:pt idx="7">
                  <c:v>171</c:v>
                </c:pt>
                <c:pt idx="8">
                  <c:v>173</c:v>
                </c:pt>
                <c:pt idx="9">
                  <c:v>163</c:v>
                </c:pt>
                <c:pt idx="10">
                  <c:v>171</c:v>
                </c:pt>
                <c:pt idx="11">
                  <c:v>147</c:v>
                </c:pt>
                <c:pt idx="12">
                  <c:v>162</c:v>
                </c:pt>
                <c:pt idx="13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7-4469-81B7-2B304CECD4C4}"/>
            </c:ext>
          </c:extLst>
        </c:ser>
        <c:ser>
          <c:idx val="1"/>
          <c:order val="1"/>
          <c:tx>
            <c:strRef>
              <c:f>Pivot!$I$3:$I$4</c:f>
              <c:strCache>
                <c:ptCount val="1"/>
                <c:pt idx="0">
                  <c:v>Booking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Pivot!$G$5:$G$19</c:f>
              <c:strCache>
                <c:ptCount val="14"/>
                <c:pt idx="0">
                  <c:v>12/7/2025</c:v>
                </c:pt>
                <c:pt idx="1">
                  <c:v>12/23/2025</c:v>
                </c:pt>
                <c:pt idx="2">
                  <c:v>1/25/2026</c:v>
                </c:pt>
                <c:pt idx="3">
                  <c:v>1/26/2026</c:v>
                </c:pt>
                <c:pt idx="4">
                  <c:v>1/27/2026</c:v>
                </c:pt>
                <c:pt idx="5">
                  <c:v>1/28/2026</c:v>
                </c:pt>
                <c:pt idx="6">
                  <c:v>2/5/2026</c:v>
                </c:pt>
                <c:pt idx="7">
                  <c:v>2/7/2026</c:v>
                </c:pt>
                <c:pt idx="8">
                  <c:v>2/8/2026</c:v>
                </c:pt>
                <c:pt idx="9">
                  <c:v>2/9/2026</c:v>
                </c:pt>
                <c:pt idx="10">
                  <c:v>2/10/2026</c:v>
                </c:pt>
                <c:pt idx="11">
                  <c:v>2/11/2026</c:v>
                </c:pt>
                <c:pt idx="12">
                  <c:v>2/12/2026</c:v>
                </c:pt>
                <c:pt idx="13">
                  <c:v>2/13/2026</c:v>
                </c:pt>
              </c:strCache>
            </c:strRef>
          </c:cat>
          <c:val>
            <c:numRef>
              <c:f>Pivot!$I$5:$I$19</c:f>
              <c:numCache>
                <c:formatCode>_(* #,##0_);_(* \(#,##0\);_(* "-"??_);_(@_)</c:formatCode>
                <c:ptCount val="14"/>
                <c:pt idx="0">
                  <c:v>533</c:v>
                </c:pt>
                <c:pt idx="1">
                  <c:v>671</c:v>
                </c:pt>
                <c:pt idx="2">
                  <c:v>653</c:v>
                </c:pt>
                <c:pt idx="3">
                  <c:v>646</c:v>
                </c:pt>
                <c:pt idx="4">
                  <c:v>509</c:v>
                </c:pt>
                <c:pt idx="5">
                  <c:v>489</c:v>
                </c:pt>
                <c:pt idx="6">
                  <c:v>850</c:v>
                </c:pt>
                <c:pt idx="7">
                  <c:v>870</c:v>
                </c:pt>
                <c:pt idx="8">
                  <c:v>898</c:v>
                </c:pt>
                <c:pt idx="9">
                  <c:v>883</c:v>
                </c:pt>
                <c:pt idx="10">
                  <c:v>829</c:v>
                </c:pt>
                <c:pt idx="11">
                  <c:v>845</c:v>
                </c:pt>
                <c:pt idx="12">
                  <c:v>853</c:v>
                </c:pt>
                <c:pt idx="13">
                  <c:v>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D7-4469-81B7-2B304CECD4C4}"/>
            </c:ext>
          </c:extLst>
        </c:ser>
        <c:ser>
          <c:idx val="2"/>
          <c:order val="2"/>
          <c:tx>
            <c:strRef>
              <c:f>Pivot!$J$3:$J$4</c:f>
              <c:strCache>
                <c:ptCount val="1"/>
                <c:pt idx="0">
                  <c:v>VRBO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Pivot!$G$5:$G$19</c:f>
              <c:strCache>
                <c:ptCount val="14"/>
                <c:pt idx="0">
                  <c:v>12/7/2025</c:v>
                </c:pt>
                <c:pt idx="1">
                  <c:v>12/23/2025</c:v>
                </c:pt>
                <c:pt idx="2">
                  <c:v>1/25/2026</c:v>
                </c:pt>
                <c:pt idx="3">
                  <c:v>1/26/2026</c:v>
                </c:pt>
                <c:pt idx="4">
                  <c:v>1/27/2026</c:v>
                </c:pt>
                <c:pt idx="5">
                  <c:v>1/28/2026</c:v>
                </c:pt>
                <c:pt idx="6">
                  <c:v>2/5/2026</c:v>
                </c:pt>
                <c:pt idx="7">
                  <c:v>2/7/2026</c:v>
                </c:pt>
                <c:pt idx="8">
                  <c:v>2/8/2026</c:v>
                </c:pt>
                <c:pt idx="9">
                  <c:v>2/9/2026</c:v>
                </c:pt>
                <c:pt idx="10">
                  <c:v>2/10/2026</c:v>
                </c:pt>
                <c:pt idx="11">
                  <c:v>2/11/2026</c:v>
                </c:pt>
                <c:pt idx="12">
                  <c:v>2/12/2026</c:v>
                </c:pt>
                <c:pt idx="13">
                  <c:v>2/13/2026</c:v>
                </c:pt>
              </c:strCache>
            </c:strRef>
          </c:cat>
          <c:val>
            <c:numRef>
              <c:f>Pivot!$J$5:$J$19</c:f>
              <c:numCache>
                <c:formatCode>_(* #,##0_);_(* \(#,##0\);_(* "-"??_);_(@_)</c:formatCode>
                <c:ptCount val="14"/>
                <c:pt idx="0">
                  <c:v>51</c:v>
                </c:pt>
                <c:pt idx="1">
                  <c:v>64</c:v>
                </c:pt>
                <c:pt idx="2">
                  <c:v>53</c:v>
                </c:pt>
                <c:pt idx="3">
                  <c:v>53</c:v>
                </c:pt>
                <c:pt idx="4">
                  <c:v>51</c:v>
                </c:pt>
                <c:pt idx="5">
                  <c:v>53</c:v>
                </c:pt>
                <c:pt idx="6">
                  <c:v>35</c:v>
                </c:pt>
                <c:pt idx="7">
                  <c:v>33</c:v>
                </c:pt>
                <c:pt idx="8">
                  <c:v>22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D7-4469-81B7-2B304CECD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51600"/>
        <c:axId val="77741040"/>
      </c:lineChart>
      <c:catAx>
        <c:axId val="7775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1040"/>
        <c:crosses val="autoZero"/>
        <c:auto val="1"/>
        <c:lblAlgn val="ctr"/>
        <c:lblOffset val="100"/>
        <c:noMultiLvlLbl val="0"/>
      </c:catAx>
      <c:valAx>
        <c:axId val="777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5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1276349</xdr:colOff>
      <xdr:row>0</xdr:row>
      <xdr:rowOff>123825</xdr:rowOff>
    </xdr:from>
    <xdr:to>
      <xdr:col>35</xdr:col>
      <xdr:colOff>266699</xdr:colOff>
      <xdr:row>15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ACC5B-A3CF-4378-F536-9C4509831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347661</xdr:colOff>
      <xdr:row>0</xdr:row>
      <xdr:rowOff>109537</xdr:rowOff>
    </xdr:from>
    <xdr:to>
      <xdr:col>43</xdr:col>
      <xdr:colOff>47624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32B1A-EEE5-8CFE-604E-9DC0FC019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1271587</xdr:colOff>
      <xdr:row>16</xdr:row>
      <xdr:rowOff>14286</xdr:rowOff>
    </xdr:from>
    <xdr:to>
      <xdr:col>35</xdr:col>
      <xdr:colOff>266700</xdr:colOff>
      <xdr:row>31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D89BF-F2EA-3508-2B68-CFA5F802B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Calleja" refreshedDate="46066.429125925926" createdVersion="8" refreshedVersion="8" minRefreshableVersion="3" recordCount="469" xr:uid="{D3CD67A3-C9F6-401A-8E9A-D0F4429C1B59}">
  <cacheSource type="worksheet">
    <worksheetSource ref="C1:O1048576" sheet="Data"/>
  </cacheSource>
  <cacheFields count="15">
    <cacheField name="Index" numFmtId="0">
      <sharedItems containsString="0" containsBlank="1" containsNumber="1" containsInteger="1" minValue="1" maxValue="6"/>
    </cacheField>
    <cacheField name="St dt" numFmtId="14">
      <sharedItems containsNonDate="0" containsDate="1" containsString="0" containsBlank="1" minDate="2025-12-07T00:00:00" maxDate="2026-04-11T00:00:00" count="79">
        <d v="2025-12-07T00:00:00"/>
        <d v="2025-12-23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m/>
      </sharedItems>
    </cacheField>
    <cacheField name="En dt" numFmtId="0">
      <sharedItems containsNonDate="0" containsDate="1" containsString="0" containsBlank="1" minDate="2026-01-06T00:00:00" maxDate="2026-05-11T00:00:00"/>
    </cacheField>
    <cacheField name="Platform" numFmtId="0">
      <sharedItems containsBlank="1" count="4">
        <s v="VRBO"/>
        <s v="Airbnb"/>
        <s v="Booking"/>
        <m/>
      </sharedItems>
    </cacheField>
    <cacheField name="Property" numFmtId="0">
      <sharedItems containsBlank="1"/>
    </cacheField>
    <cacheField name="Impressions" numFmtId="164">
      <sharedItems containsString="0" containsBlank="1" containsNumber="1" containsInteger="1" minValue="24" maxValue="72213"/>
    </cacheField>
    <cacheField name="Property views" numFmtId="164">
      <sharedItems containsString="0" containsBlank="1" containsNumber="1" containsInteger="1" minValue="0" maxValue="695"/>
    </cacheField>
    <cacheField name="Booking" numFmtId="164">
      <sharedItems containsString="0" containsBlank="1" containsNumber="1" containsInteger="1" minValue="0" maxValue="13"/>
    </cacheField>
    <cacheField name="Cancellations" numFmtId="164">
      <sharedItems containsString="0" containsBlank="1" containsNumber="1" containsInteger="1" minValue="0" maxValue="0"/>
    </cacheField>
    <cacheField name="View rate" numFmtId="10">
      <sharedItems containsBlank="1" containsMixedTypes="1" containsNumber="1" minValue="0" maxValue="0.12115384615384615"/>
    </cacheField>
    <cacheField name="Booking rate" numFmtId="0">
      <sharedItems containsString="0" containsBlank="1" containsNumber="1" minValue="0" maxValue="9.285714285714286E-2"/>
    </cacheField>
    <cacheField name="Period" numFmtId="0">
      <sharedItems containsString="0" containsBlank="1" containsNumber="1" containsInteger="1" minValue="30" maxValue="30"/>
    </cacheField>
    <cacheField name="Include" numFmtId="0">
      <sharedItems containsBlank="1" count="3">
        <s v="Y"/>
        <m/>
        <s v="N" u="1"/>
      </sharedItems>
    </cacheField>
    <cacheField name="View rate Calc" numFmtId="0" formula="'Property views'/Impressions" databaseField="0"/>
    <cacheField name="Booking rate vs views" numFmtId="0" formula="Booking/'Property view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n v="1"/>
    <x v="0"/>
    <d v="2026-01-06T00:00:00"/>
    <x v="0"/>
    <s v="Wilderness"/>
    <n v="473"/>
    <n v="51"/>
    <n v="1"/>
    <n v="0"/>
    <n v="0.10782241014799154"/>
    <n v="1.9607843137254902E-2"/>
    <n v="30"/>
    <x v="0"/>
  </r>
  <r>
    <n v="2"/>
    <x v="0"/>
    <d v="2026-01-06T00:00:00"/>
    <x v="0"/>
    <s v="Cape Town"/>
    <n v="112"/>
    <n v="0"/>
    <n v="0"/>
    <n v="0"/>
    <n v="0"/>
    <n v="0"/>
    <n v="30"/>
    <x v="0"/>
  </r>
  <r>
    <n v="3"/>
    <x v="0"/>
    <d v="2026-01-06T00:00:00"/>
    <x v="1"/>
    <s v="Wilderness"/>
    <m/>
    <n v="143"/>
    <n v="1"/>
    <n v="0"/>
    <s v="NA"/>
    <n v="6.993006993006993E-3"/>
    <n v="30"/>
    <x v="0"/>
  </r>
  <r>
    <n v="4"/>
    <x v="0"/>
    <d v="2026-01-06T00:00:00"/>
    <x v="1"/>
    <s v="Cape Town"/>
    <m/>
    <n v="86"/>
    <n v="0"/>
    <n v="0"/>
    <s v="NA"/>
    <n v="0"/>
    <n v="30"/>
    <x v="0"/>
  </r>
  <r>
    <n v="5"/>
    <x v="0"/>
    <d v="2026-01-06T00:00:00"/>
    <x v="2"/>
    <s v="Wilderness"/>
    <n v="22238"/>
    <n v="355"/>
    <n v="4"/>
    <n v="0"/>
    <n v="1.5963665797283928E-2"/>
    <n v="1.1267605633802818E-2"/>
    <n v="30"/>
    <x v="0"/>
  </r>
  <r>
    <n v="6"/>
    <x v="0"/>
    <d v="2026-01-06T00:00:00"/>
    <x v="2"/>
    <s v="Cape Town"/>
    <n v="65542"/>
    <n v="178"/>
    <n v="9"/>
    <n v="0"/>
    <n v="2.7158158127612827E-3"/>
    <n v="5.0561797752808987E-2"/>
    <n v="30"/>
    <x v="0"/>
  </r>
  <r>
    <n v="1"/>
    <x v="1"/>
    <d v="2026-01-22T00:00:00"/>
    <x v="0"/>
    <s v="Wilderness"/>
    <n v="520"/>
    <n v="63"/>
    <n v="1"/>
    <n v="0"/>
    <n v="0.12115384615384615"/>
    <n v="1.5873015873015872E-2"/>
    <n v="30"/>
    <x v="0"/>
  </r>
  <r>
    <n v="2"/>
    <x v="1"/>
    <d v="2026-01-22T00:00:00"/>
    <x v="0"/>
    <s v="Cape Town"/>
    <n v="60"/>
    <n v="1"/>
    <n v="0"/>
    <n v="0"/>
    <n v="1.6666666666666666E-2"/>
    <n v="0"/>
    <n v="30"/>
    <x v="0"/>
  </r>
  <r>
    <n v="3"/>
    <x v="1"/>
    <d v="2026-01-22T00:00:00"/>
    <x v="1"/>
    <s v="Wilderness"/>
    <m/>
    <n v="196"/>
    <n v="1"/>
    <n v="0"/>
    <s v="NA"/>
    <n v="5.1020408163265302E-3"/>
    <n v="30"/>
    <x v="0"/>
  </r>
  <r>
    <n v="4"/>
    <x v="1"/>
    <d v="2026-01-22T00:00:00"/>
    <x v="1"/>
    <s v="Cape Town"/>
    <m/>
    <n v="90"/>
    <n v="1"/>
    <n v="0"/>
    <s v="NA"/>
    <n v="1.1111111111111112E-2"/>
    <n v="30"/>
    <x v="0"/>
  </r>
  <r>
    <n v="5"/>
    <x v="1"/>
    <d v="2026-01-22T00:00:00"/>
    <x v="2"/>
    <s v="Wilderness"/>
    <n v="27427"/>
    <n v="489"/>
    <n v="10"/>
    <n v="0"/>
    <n v="1.7829146461516024E-2"/>
    <n v="2.0449897750511249E-2"/>
    <n v="30"/>
    <x v="0"/>
  </r>
  <r>
    <n v="6"/>
    <x v="1"/>
    <d v="2026-01-22T00:00:00"/>
    <x v="2"/>
    <s v="Cape Town"/>
    <n v="62753"/>
    <n v="182"/>
    <n v="13"/>
    <n v="0"/>
    <n v="2.9002597485379184E-3"/>
    <n v="7.1428571428571425E-2"/>
    <n v="30"/>
    <x v="0"/>
  </r>
  <r>
    <n v="1"/>
    <x v="2"/>
    <d v="2026-02-24T00:00:00"/>
    <x v="0"/>
    <s v="Wilderness"/>
    <n v="527"/>
    <n v="52"/>
    <n v="1"/>
    <n v="0"/>
    <n v="9.8671726755218223E-2"/>
    <n v="1.9230769230769232E-2"/>
    <n v="30"/>
    <x v="0"/>
  </r>
  <r>
    <n v="2"/>
    <x v="2"/>
    <d v="2026-02-24T00:00:00"/>
    <x v="0"/>
    <s v="Cape Town"/>
    <n v="59"/>
    <n v="1"/>
    <n v="0"/>
    <n v="0"/>
    <n v="1.6949152542372881E-2"/>
    <n v="0"/>
    <n v="30"/>
    <x v="0"/>
  </r>
  <r>
    <n v="3"/>
    <x v="2"/>
    <d v="2026-02-24T00:00:00"/>
    <x v="1"/>
    <s v="Wilderness"/>
    <m/>
    <n v="197"/>
    <n v="1"/>
    <n v="0"/>
    <s v="NA"/>
    <n v="5.076142131979695E-3"/>
    <n v="30"/>
    <x v="0"/>
  </r>
  <r>
    <n v="4"/>
    <x v="2"/>
    <d v="2026-02-24T00:00:00"/>
    <x v="1"/>
    <s v="Cape Town"/>
    <m/>
    <n v="92"/>
    <n v="1"/>
    <n v="0"/>
    <s v="NA"/>
    <n v="1.0869565217391304E-2"/>
    <n v="30"/>
    <x v="0"/>
  </r>
  <r>
    <n v="5"/>
    <x v="2"/>
    <d v="2026-02-24T00:00:00"/>
    <x v="2"/>
    <s v="Wilderness"/>
    <n v="25806"/>
    <n v="480"/>
    <n v="11"/>
    <n v="0"/>
    <n v="1.860032550569635E-2"/>
    <n v="2.2916666666666665E-2"/>
    <n v="30"/>
    <x v="0"/>
  </r>
  <r>
    <n v="6"/>
    <x v="2"/>
    <d v="2026-02-24T00:00:00"/>
    <x v="2"/>
    <s v="Cape Town"/>
    <n v="60524"/>
    <n v="173"/>
    <n v="13"/>
    <n v="0"/>
    <n v="2.8583702332958824E-3"/>
    <n v="7.5144508670520235E-2"/>
    <n v="30"/>
    <x v="0"/>
  </r>
  <r>
    <n v="1"/>
    <x v="3"/>
    <d v="2026-02-25T00:00:00"/>
    <x v="0"/>
    <s v="Wilderness"/>
    <n v="519"/>
    <n v="52"/>
    <n v="1"/>
    <n v="0"/>
    <n v="0.1001926782273603"/>
    <n v="1.9230769230769232E-2"/>
    <n v="30"/>
    <x v="0"/>
  </r>
  <r>
    <n v="2"/>
    <x v="3"/>
    <d v="2026-02-25T00:00:00"/>
    <x v="0"/>
    <s v="Cape Town"/>
    <n v="58"/>
    <n v="1"/>
    <n v="0"/>
    <n v="0"/>
    <n v="1.7241379310344827E-2"/>
    <n v="0"/>
    <n v="30"/>
    <x v="0"/>
  </r>
  <r>
    <n v="3"/>
    <x v="3"/>
    <d v="2026-02-25T00:00:00"/>
    <x v="1"/>
    <s v="Wilderness"/>
    <m/>
    <n v="193"/>
    <n v="2"/>
    <n v="0"/>
    <s v="NA"/>
    <n v="1.0362694300518135E-2"/>
    <n v="30"/>
    <x v="0"/>
  </r>
  <r>
    <n v="4"/>
    <x v="3"/>
    <d v="2026-02-25T00:00:00"/>
    <x v="1"/>
    <s v="Cape Town"/>
    <m/>
    <n v="91"/>
    <n v="1"/>
    <n v="0"/>
    <s v="NA"/>
    <n v="1.098901098901099E-2"/>
    <n v="30"/>
    <x v="0"/>
  </r>
  <r>
    <n v="5"/>
    <x v="3"/>
    <d v="2026-02-25T00:00:00"/>
    <x v="2"/>
    <s v="Wilderness"/>
    <n v="25136"/>
    <n v="478"/>
    <n v="11"/>
    <n v="0"/>
    <n v="1.901654996817314E-2"/>
    <n v="2.3012552301255231E-2"/>
    <n v="30"/>
    <x v="0"/>
  </r>
  <r>
    <n v="6"/>
    <x v="3"/>
    <d v="2026-02-25T00:00:00"/>
    <x v="2"/>
    <s v="Cape Town"/>
    <n v="58949"/>
    <n v="168"/>
    <n v="13"/>
    <n v="0"/>
    <n v="2.8499211182547628E-3"/>
    <n v="7.7380952380952384E-2"/>
    <n v="30"/>
    <x v="0"/>
  </r>
  <r>
    <n v="1"/>
    <x v="4"/>
    <d v="2026-02-26T00:00:00"/>
    <x v="0"/>
    <s v="Wilderness"/>
    <n v="511"/>
    <n v="50"/>
    <n v="1"/>
    <n v="0"/>
    <n v="9.7847358121330719E-2"/>
    <n v="0.02"/>
    <n v="30"/>
    <x v="0"/>
  </r>
  <r>
    <n v="2"/>
    <x v="4"/>
    <d v="2026-02-26T00:00:00"/>
    <x v="0"/>
    <s v="Cape Town"/>
    <n v="56"/>
    <n v="1"/>
    <n v="0"/>
    <n v="0"/>
    <n v="1.7857142857142856E-2"/>
    <n v="0"/>
    <n v="30"/>
    <x v="0"/>
  </r>
  <r>
    <n v="3"/>
    <x v="4"/>
    <d v="2026-02-26T00:00:00"/>
    <x v="1"/>
    <s v="Wilderness"/>
    <m/>
    <n v="194"/>
    <n v="2"/>
    <n v="0"/>
    <s v="NA"/>
    <n v="1.0309278350515464E-2"/>
    <n v="30"/>
    <x v="0"/>
  </r>
  <r>
    <n v="4"/>
    <x v="4"/>
    <d v="2026-02-26T00:00:00"/>
    <x v="1"/>
    <s v="Cape Town"/>
    <m/>
    <n v="65"/>
    <n v="1"/>
    <n v="0"/>
    <s v="NA"/>
    <n v="1.5384615384615385E-2"/>
    <n v="30"/>
    <x v="0"/>
  </r>
  <r>
    <n v="5"/>
    <x v="4"/>
    <d v="2026-02-26T00:00:00"/>
    <x v="2"/>
    <s v="Wilderness"/>
    <n v="24085"/>
    <n v="349"/>
    <n v="11"/>
    <n v="0"/>
    <n v="1.4490346688810463E-2"/>
    <n v="3.151862464183381E-2"/>
    <n v="30"/>
    <x v="0"/>
  </r>
  <r>
    <n v="6"/>
    <x v="4"/>
    <d v="2026-02-26T00:00:00"/>
    <x v="2"/>
    <s v="Cape Town"/>
    <n v="56507"/>
    <n v="160"/>
    <n v="13"/>
    <n v="0"/>
    <n v="2.8315076008282158E-3"/>
    <n v="8.1250000000000003E-2"/>
    <n v="30"/>
    <x v="0"/>
  </r>
  <r>
    <n v="1"/>
    <x v="5"/>
    <d v="2026-02-27T00:00:00"/>
    <x v="0"/>
    <s v="Wilderness"/>
    <n v="484"/>
    <n v="52"/>
    <n v="2"/>
    <n v="0"/>
    <n v="0.10743801652892562"/>
    <n v="3.8461538461538464E-2"/>
    <n v="30"/>
    <x v="0"/>
  </r>
  <r>
    <n v="2"/>
    <x v="5"/>
    <d v="2026-02-27T00:00:00"/>
    <x v="0"/>
    <s v="Cape Town"/>
    <n v="55"/>
    <n v="1"/>
    <n v="0"/>
    <n v="0"/>
    <n v="1.8181818181818181E-2"/>
    <n v="0"/>
    <n v="30"/>
    <x v="0"/>
  </r>
  <r>
    <n v="3"/>
    <x v="5"/>
    <d v="2026-02-27T00:00:00"/>
    <x v="1"/>
    <s v="Wilderness"/>
    <m/>
    <n v="194"/>
    <n v="2"/>
    <n v="0"/>
    <s v="NA"/>
    <n v="1.0309278350515464E-2"/>
    <n v="30"/>
    <x v="0"/>
  </r>
  <r>
    <n v="4"/>
    <x v="5"/>
    <d v="2026-02-27T00:00:00"/>
    <x v="1"/>
    <s v="Cape Town"/>
    <m/>
    <n v="65"/>
    <n v="1"/>
    <n v="0"/>
    <s v="NA"/>
    <n v="1.5384615384615385E-2"/>
    <n v="30"/>
    <x v="0"/>
  </r>
  <r>
    <n v="5"/>
    <x v="5"/>
    <d v="2026-02-27T00:00:00"/>
    <x v="2"/>
    <s v="Wilderness"/>
    <n v="24085"/>
    <n v="349"/>
    <n v="11"/>
    <n v="0"/>
    <n v="1.4490346688810463E-2"/>
    <n v="3.151862464183381E-2"/>
    <n v="30"/>
    <x v="0"/>
  </r>
  <r>
    <n v="6"/>
    <x v="5"/>
    <d v="2026-02-27T00:00:00"/>
    <x v="2"/>
    <s v="Cape Town"/>
    <n v="58507"/>
    <n v="140"/>
    <n v="13"/>
    <n v="0"/>
    <n v="2.3928760661117471E-3"/>
    <n v="9.285714285714286E-2"/>
    <n v="30"/>
    <x v="0"/>
  </r>
  <r>
    <n v="1"/>
    <x v="6"/>
    <d v="2026-02-28T00:00:00"/>
    <x v="0"/>
    <s v="Wilderness"/>
    <m/>
    <m/>
    <m/>
    <m/>
    <s v="NA"/>
    <n v="0"/>
    <n v="30"/>
    <x v="1"/>
  </r>
  <r>
    <n v="2"/>
    <x v="6"/>
    <d v="2026-02-28T00:00:00"/>
    <x v="0"/>
    <s v="Cape Town"/>
    <m/>
    <m/>
    <m/>
    <m/>
    <s v="NA"/>
    <n v="0"/>
    <n v="30"/>
    <x v="1"/>
  </r>
  <r>
    <n v="3"/>
    <x v="6"/>
    <d v="2026-02-28T00:00:00"/>
    <x v="1"/>
    <s v="Wilderness"/>
    <m/>
    <m/>
    <m/>
    <m/>
    <s v="NA"/>
    <n v="0"/>
    <n v="30"/>
    <x v="1"/>
  </r>
  <r>
    <n v="4"/>
    <x v="6"/>
    <d v="2026-02-28T00:00:00"/>
    <x v="1"/>
    <s v="Cape Town"/>
    <m/>
    <m/>
    <m/>
    <m/>
    <s v="NA"/>
    <n v="0"/>
    <n v="30"/>
    <x v="1"/>
  </r>
  <r>
    <n v="5"/>
    <x v="6"/>
    <d v="2026-02-28T00:00:00"/>
    <x v="2"/>
    <s v="Wilderness"/>
    <m/>
    <m/>
    <m/>
    <m/>
    <s v="NA"/>
    <n v="0"/>
    <n v="30"/>
    <x v="1"/>
  </r>
  <r>
    <n v="6"/>
    <x v="6"/>
    <d v="2026-02-28T00:00:00"/>
    <x v="2"/>
    <s v="Cape Town"/>
    <m/>
    <m/>
    <m/>
    <m/>
    <s v="NA"/>
    <n v="0"/>
    <n v="30"/>
    <x v="1"/>
  </r>
  <r>
    <n v="1"/>
    <x v="7"/>
    <d v="2026-03-01T00:00:00"/>
    <x v="0"/>
    <s v="Wilderness"/>
    <m/>
    <m/>
    <m/>
    <m/>
    <s v="NA"/>
    <n v="0"/>
    <n v="30"/>
    <x v="1"/>
  </r>
  <r>
    <n v="2"/>
    <x v="7"/>
    <d v="2026-03-01T00:00:00"/>
    <x v="0"/>
    <s v="Cape Town"/>
    <m/>
    <m/>
    <m/>
    <m/>
    <s v="NA"/>
    <n v="0"/>
    <n v="30"/>
    <x v="1"/>
  </r>
  <r>
    <n v="3"/>
    <x v="7"/>
    <d v="2026-03-01T00:00:00"/>
    <x v="1"/>
    <s v="Wilderness"/>
    <m/>
    <m/>
    <m/>
    <m/>
    <s v="NA"/>
    <n v="0"/>
    <n v="30"/>
    <x v="1"/>
  </r>
  <r>
    <n v="4"/>
    <x v="7"/>
    <d v="2026-03-01T00:00:00"/>
    <x v="1"/>
    <s v="Cape Town"/>
    <m/>
    <m/>
    <m/>
    <m/>
    <s v="NA"/>
    <n v="0"/>
    <n v="30"/>
    <x v="1"/>
  </r>
  <r>
    <n v="5"/>
    <x v="7"/>
    <d v="2026-03-01T00:00:00"/>
    <x v="2"/>
    <s v="Wilderness"/>
    <m/>
    <m/>
    <m/>
    <m/>
    <s v="NA"/>
    <n v="0"/>
    <n v="30"/>
    <x v="1"/>
  </r>
  <r>
    <n v="6"/>
    <x v="7"/>
    <d v="2026-03-01T00:00:00"/>
    <x v="2"/>
    <s v="Cape Town"/>
    <m/>
    <m/>
    <m/>
    <m/>
    <s v="NA"/>
    <n v="0"/>
    <n v="30"/>
    <x v="1"/>
  </r>
  <r>
    <n v="1"/>
    <x v="8"/>
    <d v="2026-03-02T00:00:00"/>
    <x v="0"/>
    <s v="Wilderness"/>
    <m/>
    <m/>
    <m/>
    <m/>
    <s v="NA"/>
    <n v="0"/>
    <n v="30"/>
    <x v="1"/>
  </r>
  <r>
    <n v="2"/>
    <x v="8"/>
    <d v="2026-03-02T00:00:00"/>
    <x v="0"/>
    <s v="Cape Town"/>
    <m/>
    <m/>
    <m/>
    <m/>
    <s v="NA"/>
    <n v="0"/>
    <n v="30"/>
    <x v="1"/>
  </r>
  <r>
    <n v="3"/>
    <x v="8"/>
    <d v="2026-03-02T00:00:00"/>
    <x v="1"/>
    <s v="Wilderness"/>
    <m/>
    <m/>
    <m/>
    <m/>
    <s v="NA"/>
    <n v="0"/>
    <n v="30"/>
    <x v="1"/>
  </r>
  <r>
    <n v="4"/>
    <x v="8"/>
    <d v="2026-03-02T00:00:00"/>
    <x v="1"/>
    <s v="Cape Town"/>
    <m/>
    <m/>
    <m/>
    <m/>
    <s v="NA"/>
    <n v="0"/>
    <n v="30"/>
    <x v="1"/>
  </r>
  <r>
    <n v="5"/>
    <x v="8"/>
    <d v="2026-03-02T00:00:00"/>
    <x v="2"/>
    <s v="Wilderness"/>
    <m/>
    <m/>
    <m/>
    <m/>
    <s v="NA"/>
    <n v="0"/>
    <n v="30"/>
    <x v="1"/>
  </r>
  <r>
    <n v="6"/>
    <x v="8"/>
    <d v="2026-03-02T00:00:00"/>
    <x v="2"/>
    <s v="Cape Town"/>
    <m/>
    <m/>
    <m/>
    <m/>
    <s v="NA"/>
    <n v="0"/>
    <n v="30"/>
    <x v="1"/>
  </r>
  <r>
    <n v="1"/>
    <x v="9"/>
    <d v="2026-03-03T00:00:00"/>
    <x v="0"/>
    <s v="Wilderness"/>
    <m/>
    <m/>
    <m/>
    <m/>
    <s v="NA"/>
    <n v="0"/>
    <n v="30"/>
    <x v="1"/>
  </r>
  <r>
    <n v="2"/>
    <x v="9"/>
    <d v="2026-03-03T00:00:00"/>
    <x v="0"/>
    <s v="Cape Town"/>
    <m/>
    <m/>
    <m/>
    <m/>
    <s v="NA"/>
    <n v="0"/>
    <n v="30"/>
    <x v="1"/>
  </r>
  <r>
    <n v="3"/>
    <x v="9"/>
    <d v="2026-03-03T00:00:00"/>
    <x v="1"/>
    <s v="Wilderness"/>
    <m/>
    <m/>
    <m/>
    <m/>
    <s v="NA"/>
    <n v="0"/>
    <n v="30"/>
    <x v="1"/>
  </r>
  <r>
    <n v="4"/>
    <x v="9"/>
    <d v="2026-03-03T00:00:00"/>
    <x v="1"/>
    <s v="Cape Town"/>
    <m/>
    <m/>
    <m/>
    <m/>
    <s v="NA"/>
    <n v="0"/>
    <n v="30"/>
    <x v="1"/>
  </r>
  <r>
    <n v="5"/>
    <x v="9"/>
    <d v="2026-03-03T00:00:00"/>
    <x v="2"/>
    <s v="Wilderness"/>
    <m/>
    <m/>
    <m/>
    <m/>
    <s v="NA"/>
    <n v="0"/>
    <n v="30"/>
    <x v="1"/>
  </r>
  <r>
    <n v="6"/>
    <x v="9"/>
    <d v="2026-03-03T00:00:00"/>
    <x v="2"/>
    <s v="Cape Town"/>
    <m/>
    <m/>
    <m/>
    <m/>
    <s v="NA"/>
    <n v="0"/>
    <n v="30"/>
    <x v="1"/>
  </r>
  <r>
    <n v="1"/>
    <x v="10"/>
    <d v="2026-03-04T00:00:00"/>
    <x v="0"/>
    <s v="Wilderness"/>
    <m/>
    <m/>
    <m/>
    <m/>
    <s v="NA"/>
    <n v="0"/>
    <n v="30"/>
    <x v="1"/>
  </r>
  <r>
    <n v="2"/>
    <x v="10"/>
    <d v="2026-03-04T00:00:00"/>
    <x v="0"/>
    <s v="Cape Town"/>
    <m/>
    <m/>
    <m/>
    <m/>
    <s v="NA"/>
    <n v="0"/>
    <n v="30"/>
    <x v="1"/>
  </r>
  <r>
    <n v="3"/>
    <x v="10"/>
    <d v="2026-03-04T00:00:00"/>
    <x v="1"/>
    <s v="Wilderness"/>
    <m/>
    <m/>
    <m/>
    <m/>
    <s v="NA"/>
    <n v="0"/>
    <n v="30"/>
    <x v="1"/>
  </r>
  <r>
    <n v="4"/>
    <x v="10"/>
    <d v="2026-03-04T00:00:00"/>
    <x v="1"/>
    <s v="Cape Town"/>
    <m/>
    <m/>
    <m/>
    <m/>
    <s v="NA"/>
    <n v="0"/>
    <n v="30"/>
    <x v="1"/>
  </r>
  <r>
    <n v="5"/>
    <x v="10"/>
    <d v="2026-03-04T00:00:00"/>
    <x v="2"/>
    <s v="Wilderness"/>
    <m/>
    <m/>
    <m/>
    <m/>
    <s v="NA"/>
    <n v="0"/>
    <n v="30"/>
    <x v="1"/>
  </r>
  <r>
    <n v="6"/>
    <x v="10"/>
    <d v="2026-03-04T00:00:00"/>
    <x v="2"/>
    <s v="Cape Town"/>
    <m/>
    <m/>
    <m/>
    <m/>
    <s v="NA"/>
    <n v="0"/>
    <n v="30"/>
    <x v="1"/>
  </r>
  <r>
    <n v="1"/>
    <x v="11"/>
    <d v="2026-03-05T00:00:00"/>
    <x v="0"/>
    <s v="Wilderness"/>
    <m/>
    <m/>
    <m/>
    <m/>
    <s v="NA"/>
    <n v="0"/>
    <n v="30"/>
    <x v="1"/>
  </r>
  <r>
    <n v="2"/>
    <x v="11"/>
    <d v="2026-03-05T00:00:00"/>
    <x v="0"/>
    <s v="Cape Town"/>
    <m/>
    <m/>
    <m/>
    <m/>
    <s v="NA"/>
    <n v="0"/>
    <n v="30"/>
    <x v="1"/>
  </r>
  <r>
    <n v="3"/>
    <x v="11"/>
    <d v="2026-03-05T00:00:00"/>
    <x v="1"/>
    <s v="Wilderness"/>
    <m/>
    <m/>
    <m/>
    <m/>
    <s v="NA"/>
    <n v="0"/>
    <n v="30"/>
    <x v="1"/>
  </r>
  <r>
    <n v="4"/>
    <x v="11"/>
    <d v="2026-03-05T00:00:00"/>
    <x v="1"/>
    <s v="Cape Town"/>
    <m/>
    <m/>
    <m/>
    <m/>
    <s v="NA"/>
    <n v="0"/>
    <n v="30"/>
    <x v="1"/>
  </r>
  <r>
    <n v="5"/>
    <x v="11"/>
    <d v="2026-03-05T00:00:00"/>
    <x v="2"/>
    <s v="Wilderness"/>
    <m/>
    <m/>
    <m/>
    <m/>
    <s v="NA"/>
    <n v="0"/>
    <n v="30"/>
    <x v="1"/>
  </r>
  <r>
    <n v="6"/>
    <x v="11"/>
    <d v="2026-03-05T00:00:00"/>
    <x v="2"/>
    <s v="Cape Town"/>
    <m/>
    <m/>
    <m/>
    <m/>
    <s v="NA"/>
    <n v="0"/>
    <n v="30"/>
    <x v="1"/>
  </r>
  <r>
    <n v="1"/>
    <x v="12"/>
    <d v="2026-03-06T00:00:00"/>
    <x v="0"/>
    <s v="Wilderness"/>
    <m/>
    <m/>
    <m/>
    <m/>
    <s v="NA"/>
    <n v="0"/>
    <n v="30"/>
    <x v="1"/>
  </r>
  <r>
    <n v="2"/>
    <x v="12"/>
    <d v="2026-03-06T00:00:00"/>
    <x v="0"/>
    <s v="Cape Town"/>
    <m/>
    <m/>
    <m/>
    <m/>
    <s v="NA"/>
    <n v="0"/>
    <n v="30"/>
    <x v="1"/>
  </r>
  <r>
    <n v="3"/>
    <x v="12"/>
    <d v="2026-03-06T00:00:00"/>
    <x v="1"/>
    <s v="Wilderness"/>
    <m/>
    <m/>
    <m/>
    <m/>
    <s v="NA"/>
    <n v="0"/>
    <n v="30"/>
    <x v="1"/>
  </r>
  <r>
    <n v="4"/>
    <x v="12"/>
    <d v="2026-03-06T00:00:00"/>
    <x v="1"/>
    <s v="Cape Town"/>
    <m/>
    <m/>
    <m/>
    <m/>
    <s v="NA"/>
    <n v="0"/>
    <n v="30"/>
    <x v="1"/>
  </r>
  <r>
    <n v="5"/>
    <x v="12"/>
    <d v="2026-03-06T00:00:00"/>
    <x v="2"/>
    <s v="Wilderness"/>
    <m/>
    <m/>
    <m/>
    <m/>
    <s v="NA"/>
    <n v="0"/>
    <n v="30"/>
    <x v="1"/>
  </r>
  <r>
    <n v="6"/>
    <x v="12"/>
    <d v="2026-03-06T00:00:00"/>
    <x v="2"/>
    <s v="Cape Town"/>
    <m/>
    <m/>
    <m/>
    <m/>
    <s v="NA"/>
    <n v="0"/>
    <n v="30"/>
    <x v="1"/>
  </r>
  <r>
    <n v="1"/>
    <x v="13"/>
    <d v="2026-03-07T00:00:00"/>
    <x v="0"/>
    <s v="Wilderness"/>
    <n v="380"/>
    <n v="33"/>
    <n v="0"/>
    <n v="0"/>
    <n v="8.6842105263157901E-2"/>
    <n v="0"/>
    <n v="30"/>
    <x v="0"/>
  </r>
  <r>
    <n v="2"/>
    <x v="13"/>
    <d v="2026-03-07T00:00:00"/>
    <x v="0"/>
    <s v="Cape Town"/>
    <n v="40"/>
    <n v="2"/>
    <n v="0"/>
    <n v="0"/>
    <n v="0.05"/>
    <n v="0"/>
    <n v="30"/>
    <x v="0"/>
  </r>
  <r>
    <n v="3"/>
    <x v="13"/>
    <d v="2026-03-07T00:00:00"/>
    <x v="1"/>
    <s v="Wilderness"/>
    <m/>
    <n v="140"/>
    <n v="2"/>
    <n v="0"/>
    <s v="NA"/>
    <n v="1.4285714285714285E-2"/>
    <n v="30"/>
    <x v="0"/>
  </r>
  <r>
    <n v="4"/>
    <x v="13"/>
    <d v="2026-03-07T00:00:00"/>
    <x v="1"/>
    <s v="Cape Town"/>
    <m/>
    <n v="42"/>
    <n v="1"/>
    <n v="0"/>
    <s v="NA"/>
    <n v="2.3809523809523808E-2"/>
    <n v="30"/>
    <x v="0"/>
  </r>
  <r>
    <n v="5"/>
    <x v="13"/>
    <d v="2026-03-07T00:00:00"/>
    <x v="2"/>
    <s v="Wilderness"/>
    <n v="49295"/>
    <n v="651"/>
    <n v="11"/>
    <n v="0"/>
    <n v="1.3206207526118268E-2"/>
    <n v="1.6897081413210446E-2"/>
    <n v="30"/>
    <x v="0"/>
  </r>
  <r>
    <n v="6"/>
    <x v="13"/>
    <d v="2026-03-07T00:00:00"/>
    <x v="2"/>
    <s v="Cape Town"/>
    <n v="72038"/>
    <n v="199"/>
    <n v="10"/>
    <n v="0"/>
    <n v="2.7624309392265192E-3"/>
    <n v="5.0251256281407038E-2"/>
    <n v="30"/>
    <x v="0"/>
  </r>
  <r>
    <n v="1"/>
    <x v="14"/>
    <d v="2026-03-08T00:00:00"/>
    <x v="0"/>
    <s v="Wilderness"/>
    <m/>
    <m/>
    <m/>
    <m/>
    <s v="NA"/>
    <n v="0"/>
    <n v="30"/>
    <x v="1"/>
  </r>
  <r>
    <n v="2"/>
    <x v="14"/>
    <d v="2026-03-08T00:00:00"/>
    <x v="0"/>
    <s v="Cape Town"/>
    <m/>
    <m/>
    <m/>
    <m/>
    <s v="NA"/>
    <n v="0"/>
    <n v="30"/>
    <x v="1"/>
  </r>
  <r>
    <n v="3"/>
    <x v="14"/>
    <d v="2026-03-08T00:00:00"/>
    <x v="1"/>
    <s v="Wilderness"/>
    <m/>
    <m/>
    <m/>
    <m/>
    <s v="NA"/>
    <n v="0"/>
    <n v="30"/>
    <x v="1"/>
  </r>
  <r>
    <n v="4"/>
    <x v="14"/>
    <d v="2026-03-08T00:00:00"/>
    <x v="1"/>
    <s v="Cape Town"/>
    <m/>
    <m/>
    <m/>
    <m/>
    <s v="NA"/>
    <n v="0"/>
    <n v="30"/>
    <x v="1"/>
  </r>
  <r>
    <n v="5"/>
    <x v="14"/>
    <d v="2026-03-08T00:00:00"/>
    <x v="2"/>
    <s v="Wilderness"/>
    <m/>
    <m/>
    <m/>
    <m/>
    <s v="NA"/>
    <n v="0"/>
    <n v="30"/>
    <x v="1"/>
  </r>
  <r>
    <n v="6"/>
    <x v="14"/>
    <d v="2026-03-08T00:00:00"/>
    <x v="2"/>
    <s v="Cape Town"/>
    <m/>
    <m/>
    <m/>
    <m/>
    <s v="NA"/>
    <n v="0"/>
    <n v="30"/>
    <x v="1"/>
  </r>
  <r>
    <n v="1"/>
    <x v="15"/>
    <d v="2026-03-09T00:00:00"/>
    <x v="0"/>
    <s v="Wilderness"/>
    <n v="343"/>
    <n v="31"/>
    <n v="0"/>
    <n v="0"/>
    <n v="9.0379008746355682E-2"/>
    <n v="0"/>
    <n v="30"/>
    <x v="0"/>
  </r>
  <r>
    <n v="2"/>
    <x v="15"/>
    <d v="2026-03-09T00:00:00"/>
    <x v="0"/>
    <s v="Cape Town"/>
    <n v="26"/>
    <n v="2"/>
    <n v="0"/>
    <n v="0"/>
    <n v="7.6923076923076927E-2"/>
    <n v="0"/>
    <n v="30"/>
    <x v="0"/>
  </r>
  <r>
    <n v="3"/>
    <x v="15"/>
    <d v="2026-03-09T00:00:00"/>
    <x v="1"/>
    <s v="Wilderness"/>
    <m/>
    <n v="134"/>
    <n v="2"/>
    <n v="0"/>
    <s v="NA"/>
    <n v="1.4925373134328358E-2"/>
    <n v="30"/>
    <x v="0"/>
  </r>
  <r>
    <n v="4"/>
    <x v="15"/>
    <d v="2026-03-09T00:00:00"/>
    <x v="1"/>
    <s v="Cape Town"/>
    <m/>
    <n v="37"/>
    <n v="0"/>
    <n v="0"/>
    <s v="NA"/>
    <n v="0"/>
    <n v="30"/>
    <x v="0"/>
  </r>
  <r>
    <n v="5"/>
    <x v="15"/>
    <d v="2026-03-09T00:00:00"/>
    <x v="2"/>
    <s v="Wilderness"/>
    <n v="50669"/>
    <n v="669"/>
    <n v="10"/>
    <n v="0"/>
    <n v="1.3203339319899742E-2"/>
    <n v="1.4947683109118086E-2"/>
    <n v="30"/>
    <x v="0"/>
  </r>
  <r>
    <n v="6"/>
    <x v="15"/>
    <d v="2026-03-09T00:00:00"/>
    <x v="2"/>
    <s v="Cape Town"/>
    <n v="70531"/>
    <n v="201"/>
    <n v="9"/>
    <n v="0"/>
    <n v="2.8498107215267046E-3"/>
    <n v="4.4776119402985072E-2"/>
    <n v="30"/>
    <x v="0"/>
  </r>
  <r>
    <n v="1"/>
    <x v="16"/>
    <d v="2026-03-10T00:00:00"/>
    <x v="0"/>
    <s v="Wilderness"/>
    <n v="327"/>
    <n v="20"/>
    <n v="0"/>
    <n v="0"/>
    <n v="6.1162079510703363E-2"/>
    <n v="0"/>
    <n v="30"/>
    <x v="0"/>
  </r>
  <r>
    <n v="2"/>
    <x v="16"/>
    <d v="2026-03-10T00:00:00"/>
    <x v="0"/>
    <s v="Cape Town"/>
    <n v="28"/>
    <n v="2"/>
    <n v="0"/>
    <n v="0"/>
    <n v="7.1428571428571425E-2"/>
    <n v="0"/>
    <n v="30"/>
    <x v="0"/>
  </r>
  <r>
    <n v="3"/>
    <x v="16"/>
    <d v="2026-03-10T00:00:00"/>
    <x v="1"/>
    <s v="Wilderness"/>
    <m/>
    <n v="134"/>
    <n v="2"/>
    <n v="0"/>
    <s v="NA"/>
    <n v="1.4925373134328358E-2"/>
    <n v="30"/>
    <x v="0"/>
  </r>
  <r>
    <n v="4"/>
    <x v="16"/>
    <d v="2026-03-10T00:00:00"/>
    <x v="1"/>
    <s v="Cape Town"/>
    <m/>
    <n v="39"/>
    <n v="0"/>
    <n v="0"/>
    <s v="NA"/>
    <n v="0"/>
    <n v="30"/>
    <x v="0"/>
  </r>
  <r>
    <n v="5"/>
    <x v="16"/>
    <d v="2026-03-10T00:00:00"/>
    <x v="2"/>
    <s v="Wilderness"/>
    <n v="52110"/>
    <n v="695"/>
    <n v="10"/>
    <n v="0"/>
    <n v="1.3337171368259451E-2"/>
    <n v="1.4388489208633094E-2"/>
    <n v="30"/>
    <x v="0"/>
  </r>
  <r>
    <n v="6"/>
    <x v="16"/>
    <d v="2026-03-10T00:00:00"/>
    <x v="2"/>
    <s v="Cape Town"/>
    <n v="72213"/>
    <n v="203"/>
    <n v="9"/>
    <n v="0"/>
    <n v="2.8111281902150581E-3"/>
    <n v="4.4334975369458129E-2"/>
    <n v="30"/>
    <x v="0"/>
  </r>
  <r>
    <n v="1"/>
    <x v="17"/>
    <d v="2026-03-11T00:00:00"/>
    <x v="0"/>
    <s v="Wilderness"/>
    <n v="333"/>
    <n v="21"/>
    <n v="0"/>
    <n v="0"/>
    <n v="6.3063063063063057E-2"/>
    <n v="0"/>
    <n v="30"/>
    <x v="0"/>
  </r>
  <r>
    <n v="2"/>
    <x v="17"/>
    <d v="2026-03-11T00:00:00"/>
    <x v="0"/>
    <s v="Cape Town"/>
    <n v="25"/>
    <n v="1"/>
    <n v="0"/>
    <n v="0"/>
    <n v="0.04"/>
    <n v="0"/>
    <n v="30"/>
    <x v="0"/>
  </r>
  <r>
    <n v="3"/>
    <x v="17"/>
    <d v="2026-03-11T00:00:00"/>
    <x v="1"/>
    <s v="Wilderness"/>
    <m/>
    <n v="129"/>
    <n v="2"/>
    <n v="0"/>
    <s v="NA"/>
    <n v="1.5503875968992248E-2"/>
    <n v="30"/>
    <x v="0"/>
  </r>
  <r>
    <n v="4"/>
    <x v="17"/>
    <d v="2026-03-11T00:00:00"/>
    <x v="1"/>
    <s v="Cape Town"/>
    <m/>
    <n v="34"/>
    <n v="0"/>
    <n v="0"/>
    <s v="NA"/>
    <n v="0"/>
    <n v="30"/>
    <x v="0"/>
  </r>
  <r>
    <n v="5"/>
    <x v="17"/>
    <d v="2026-03-11T00:00:00"/>
    <x v="2"/>
    <s v="Wilderness"/>
    <n v="52680"/>
    <n v="689"/>
    <n v="10"/>
    <n v="0"/>
    <n v="1.3078967350037964E-2"/>
    <n v="1.4513788098693759E-2"/>
    <n v="30"/>
    <x v="0"/>
  </r>
  <r>
    <n v="6"/>
    <x v="17"/>
    <d v="2026-03-11T00:00:00"/>
    <x v="2"/>
    <s v="Cape Town"/>
    <n v="67545"/>
    <n v="194"/>
    <n v="9"/>
    <n v="0"/>
    <n v="2.8721593012066031E-3"/>
    <n v="4.6391752577319589E-2"/>
    <n v="30"/>
    <x v="0"/>
  </r>
  <r>
    <n v="1"/>
    <x v="18"/>
    <d v="2026-03-12T00:00:00"/>
    <x v="0"/>
    <s v="Wilderness"/>
    <n v="333"/>
    <n v="18"/>
    <n v="0"/>
    <n v="0"/>
    <n v="5.4054054054054057E-2"/>
    <n v="0"/>
    <n v="30"/>
    <x v="0"/>
  </r>
  <r>
    <n v="2"/>
    <x v="18"/>
    <d v="2026-03-12T00:00:00"/>
    <x v="0"/>
    <s v="Cape Town"/>
    <n v="26"/>
    <n v="1"/>
    <n v="0"/>
    <n v="0"/>
    <n v="3.8461538461538464E-2"/>
    <n v="0"/>
    <n v="30"/>
    <x v="0"/>
  </r>
  <r>
    <n v="3"/>
    <x v="18"/>
    <d v="2026-03-12T00:00:00"/>
    <x v="1"/>
    <s v="Wilderness"/>
    <m/>
    <n v="135"/>
    <n v="2"/>
    <n v="0"/>
    <s v="NA"/>
    <n v="1.4814814814814815E-2"/>
    <n v="30"/>
    <x v="0"/>
  </r>
  <r>
    <n v="4"/>
    <x v="18"/>
    <d v="2026-03-12T00:00:00"/>
    <x v="1"/>
    <s v="Cape Town"/>
    <m/>
    <n v="36"/>
    <n v="0"/>
    <n v="0"/>
    <s v="NA"/>
    <n v="0"/>
    <n v="30"/>
    <x v="0"/>
  </r>
  <r>
    <n v="5"/>
    <x v="18"/>
    <d v="2026-03-12T00:00:00"/>
    <x v="2"/>
    <s v="Wilderness"/>
    <n v="52177"/>
    <n v="659"/>
    <n v="10"/>
    <n v="0"/>
    <n v="1.2630086053241851E-2"/>
    <n v="1.5174506828528073E-2"/>
    <n v="30"/>
    <x v="0"/>
  </r>
  <r>
    <n v="6"/>
    <x v="18"/>
    <d v="2026-03-12T00:00:00"/>
    <x v="2"/>
    <s v="Cape Town"/>
    <n v="6192"/>
    <n v="170"/>
    <n v="7"/>
    <n v="0"/>
    <n v="2.7454780361757105E-2"/>
    <n v="4.1176470588235294E-2"/>
    <n v="30"/>
    <x v="0"/>
  </r>
  <r>
    <n v="1"/>
    <x v="19"/>
    <d v="2026-03-13T00:00:00"/>
    <x v="0"/>
    <s v="Wilderness"/>
    <n v="337"/>
    <n v="19"/>
    <n v="0"/>
    <n v="0"/>
    <n v="5.637982195845697E-2"/>
    <n v="0"/>
    <n v="30"/>
    <x v="0"/>
  </r>
  <r>
    <n v="2"/>
    <x v="19"/>
    <d v="2026-03-13T00:00:00"/>
    <x v="0"/>
    <s v="Cape Town"/>
    <n v="26"/>
    <n v="1"/>
    <n v="0"/>
    <n v="0"/>
    <n v="3.8461538461538464E-2"/>
    <n v="0"/>
    <n v="30"/>
    <x v="0"/>
  </r>
  <r>
    <n v="3"/>
    <x v="19"/>
    <d v="2026-03-13T00:00:00"/>
    <x v="1"/>
    <s v="Wilderness"/>
    <m/>
    <n v="112"/>
    <n v="2"/>
    <n v="0"/>
    <s v="NA"/>
    <n v="1.7857142857142856E-2"/>
    <n v="30"/>
    <x v="0"/>
  </r>
  <r>
    <n v="4"/>
    <x v="19"/>
    <d v="2026-03-13T00:00:00"/>
    <x v="1"/>
    <s v="Cape Town"/>
    <m/>
    <n v="35"/>
    <n v="0"/>
    <n v="0"/>
    <s v="NA"/>
    <n v="0"/>
    <n v="30"/>
    <x v="0"/>
  </r>
  <r>
    <n v="5"/>
    <x v="19"/>
    <d v="2026-03-13T00:00:00"/>
    <x v="2"/>
    <s v="Wilderness"/>
    <n v="53983"/>
    <n v="671"/>
    <n v="10"/>
    <n v="0"/>
    <n v="1.2429839023396255E-2"/>
    <n v="1.4903129657228018E-2"/>
    <n v="30"/>
    <x v="0"/>
  </r>
  <r>
    <n v="6"/>
    <x v="19"/>
    <d v="2026-03-13T00:00:00"/>
    <x v="2"/>
    <s v="Cape Town"/>
    <n v="63161"/>
    <n v="174"/>
    <n v="7"/>
    <n v="0"/>
    <n v="2.7548645524928359E-3"/>
    <n v="4.0229885057471264E-2"/>
    <n v="30"/>
    <x v="0"/>
  </r>
  <r>
    <n v="1"/>
    <x v="20"/>
    <d v="2026-03-14T00:00:00"/>
    <x v="0"/>
    <s v="Wilderness"/>
    <n v="311"/>
    <n v="19"/>
    <n v="0"/>
    <n v="0"/>
    <s v="NA"/>
    <n v="0"/>
    <n v="30"/>
    <x v="0"/>
  </r>
  <r>
    <n v="2"/>
    <x v="20"/>
    <d v="2026-03-14T00:00:00"/>
    <x v="0"/>
    <s v="Cape Town"/>
    <n v="24"/>
    <n v="4"/>
    <n v="0"/>
    <n v="0"/>
    <s v="NA"/>
    <n v="0"/>
    <n v="30"/>
    <x v="0"/>
  </r>
  <r>
    <n v="3"/>
    <x v="20"/>
    <d v="2026-03-14T00:00:00"/>
    <x v="1"/>
    <s v="Wilderness"/>
    <m/>
    <n v="123"/>
    <n v="2"/>
    <n v="0"/>
    <s v="NA"/>
    <n v="0"/>
    <n v="30"/>
    <x v="0"/>
  </r>
  <r>
    <n v="4"/>
    <x v="20"/>
    <d v="2026-03-14T00:00:00"/>
    <x v="1"/>
    <s v="Cape Town"/>
    <m/>
    <n v="39"/>
    <n v="0"/>
    <n v="0"/>
    <s v="NA"/>
    <n v="0"/>
    <n v="30"/>
    <x v="0"/>
  </r>
  <r>
    <n v="5"/>
    <x v="20"/>
    <d v="2026-03-14T00:00:00"/>
    <x v="2"/>
    <s v="Wilderness"/>
    <n v="55461"/>
    <n v="682"/>
    <n v="11"/>
    <n v="0"/>
    <s v="NA"/>
    <n v="0"/>
    <n v="30"/>
    <x v="0"/>
  </r>
  <r>
    <n v="6"/>
    <x v="20"/>
    <d v="2026-03-14T00:00:00"/>
    <x v="2"/>
    <s v="Cape Town"/>
    <n v="62051"/>
    <n v="171"/>
    <n v="7"/>
    <n v="0"/>
    <s v="NA"/>
    <n v="0"/>
    <n v="30"/>
    <x v="0"/>
  </r>
  <r>
    <n v="1"/>
    <x v="21"/>
    <d v="2026-03-15T00:00:00"/>
    <x v="0"/>
    <s v="Wilderness"/>
    <n v="292"/>
    <n v="18"/>
    <n v="0"/>
    <n v="0"/>
    <s v="NA"/>
    <n v="0"/>
    <n v="30"/>
    <x v="0"/>
  </r>
  <r>
    <n v="2"/>
    <x v="21"/>
    <d v="2026-03-15T00:00:00"/>
    <x v="0"/>
    <s v="Cape Town"/>
    <n v="26"/>
    <n v="2"/>
    <n v="0"/>
    <n v="0"/>
    <s v="NA"/>
    <n v="0"/>
    <n v="30"/>
    <x v="0"/>
  </r>
  <r>
    <n v="3"/>
    <x v="21"/>
    <d v="2026-03-15T00:00:00"/>
    <x v="1"/>
    <s v="Wilderness"/>
    <m/>
    <n v="119"/>
    <n v="1"/>
    <n v="0"/>
    <s v="NA"/>
    <n v="0"/>
    <n v="30"/>
    <x v="0"/>
  </r>
  <r>
    <n v="4"/>
    <x v="21"/>
    <d v="2026-03-15T00:00:00"/>
    <x v="1"/>
    <s v="Cape Town"/>
    <m/>
    <n v="35"/>
    <n v="0"/>
    <n v="0"/>
    <s v="NA"/>
    <n v="0"/>
    <n v="30"/>
    <x v="0"/>
  </r>
  <r>
    <n v="5"/>
    <x v="21"/>
    <d v="2026-03-15T00:00:00"/>
    <x v="2"/>
    <s v="Wilderness"/>
    <n v="56045"/>
    <n v="662"/>
    <n v="11"/>
    <n v="0"/>
    <s v="NA"/>
    <n v="0"/>
    <n v="30"/>
    <x v="0"/>
  </r>
  <r>
    <n v="6"/>
    <x v="21"/>
    <d v="2026-03-15T00:00:00"/>
    <x v="2"/>
    <s v="Cape Town"/>
    <n v="61181"/>
    <n v="174"/>
    <n v="7"/>
    <n v="0"/>
    <s v="NA"/>
    <n v="0"/>
    <n v="30"/>
    <x v="0"/>
  </r>
  <r>
    <n v="1"/>
    <x v="22"/>
    <d v="2026-03-16T00:00:00"/>
    <x v="0"/>
    <s v="Wilderness"/>
    <m/>
    <m/>
    <m/>
    <m/>
    <s v="NA"/>
    <n v="0"/>
    <n v="30"/>
    <x v="1"/>
  </r>
  <r>
    <n v="2"/>
    <x v="22"/>
    <d v="2026-03-16T00:00:00"/>
    <x v="0"/>
    <s v="Cape Town"/>
    <m/>
    <m/>
    <m/>
    <m/>
    <s v="NA"/>
    <n v="0"/>
    <n v="30"/>
    <x v="1"/>
  </r>
  <r>
    <n v="3"/>
    <x v="22"/>
    <d v="2026-03-16T00:00:00"/>
    <x v="1"/>
    <s v="Wilderness"/>
    <m/>
    <m/>
    <m/>
    <m/>
    <s v="NA"/>
    <n v="0"/>
    <n v="30"/>
    <x v="1"/>
  </r>
  <r>
    <n v="4"/>
    <x v="22"/>
    <d v="2026-03-16T00:00:00"/>
    <x v="1"/>
    <s v="Cape Town"/>
    <m/>
    <m/>
    <m/>
    <m/>
    <s v="NA"/>
    <n v="0"/>
    <n v="30"/>
    <x v="1"/>
  </r>
  <r>
    <n v="5"/>
    <x v="22"/>
    <d v="2026-03-16T00:00:00"/>
    <x v="2"/>
    <s v="Wilderness"/>
    <m/>
    <m/>
    <m/>
    <m/>
    <s v="NA"/>
    <n v="0"/>
    <n v="30"/>
    <x v="1"/>
  </r>
  <r>
    <n v="6"/>
    <x v="22"/>
    <d v="2026-03-16T00:00:00"/>
    <x v="2"/>
    <s v="Cape Town"/>
    <m/>
    <m/>
    <m/>
    <m/>
    <s v="NA"/>
    <n v="0"/>
    <n v="30"/>
    <x v="1"/>
  </r>
  <r>
    <n v="1"/>
    <x v="23"/>
    <d v="2026-03-17T00:00:00"/>
    <x v="0"/>
    <s v="Wilderness"/>
    <m/>
    <m/>
    <m/>
    <m/>
    <s v="NA"/>
    <n v="0"/>
    <n v="30"/>
    <x v="1"/>
  </r>
  <r>
    <n v="2"/>
    <x v="23"/>
    <d v="2026-03-17T00:00:00"/>
    <x v="0"/>
    <s v="Cape Town"/>
    <m/>
    <m/>
    <m/>
    <m/>
    <s v="NA"/>
    <n v="0"/>
    <n v="30"/>
    <x v="1"/>
  </r>
  <r>
    <n v="3"/>
    <x v="23"/>
    <d v="2026-03-17T00:00:00"/>
    <x v="1"/>
    <s v="Wilderness"/>
    <m/>
    <m/>
    <m/>
    <m/>
    <s v="NA"/>
    <n v="0"/>
    <n v="30"/>
    <x v="1"/>
  </r>
  <r>
    <n v="4"/>
    <x v="23"/>
    <d v="2026-03-17T00:00:00"/>
    <x v="1"/>
    <s v="Cape Town"/>
    <m/>
    <m/>
    <m/>
    <m/>
    <s v="NA"/>
    <n v="0"/>
    <n v="30"/>
    <x v="1"/>
  </r>
  <r>
    <n v="5"/>
    <x v="23"/>
    <d v="2026-03-17T00:00:00"/>
    <x v="2"/>
    <s v="Wilderness"/>
    <m/>
    <m/>
    <m/>
    <m/>
    <s v="NA"/>
    <n v="0"/>
    <n v="30"/>
    <x v="1"/>
  </r>
  <r>
    <n v="6"/>
    <x v="23"/>
    <d v="2026-03-17T00:00:00"/>
    <x v="2"/>
    <s v="Cape Town"/>
    <m/>
    <m/>
    <m/>
    <m/>
    <s v="NA"/>
    <n v="0"/>
    <n v="30"/>
    <x v="1"/>
  </r>
  <r>
    <n v="1"/>
    <x v="24"/>
    <d v="2026-03-18T00:00:00"/>
    <x v="0"/>
    <s v="Wilderness"/>
    <m/>
    <m/>
    <m/>
    <m/>
    <s v="NA"/>
    <n v="0"/>
    <n v="30"/>
    <x v="1"/>
  </r>
  <r>
    <n v="2"/>
    <x v="24"/>
    <d v="2026-03-18T00:00:00"/>
    <x v="0"/>
    <s v="Cape Town"/>
    <m/>
    <m/>
    <m/>
    <m/>
    <s v="NA"/>
    <n v="0"/>
    <n v="30"/>
    <x v="1"/>
  </r>
  <r>
    <n v="3"/>
    <x v="24"/>
    <d v="2026-03-18T00:00:00"/>
    <x v="1"/>
    <s v="Wilderness"/>
    <m/>
    <m/>
    <m/>
    <m/>
    <s v="NA"/>
    <n v="0"/>
    <n v="30"/>
    <x v="1"/>
  </r>
  <r>
    <n v="4"/>
    <x v="24"/>
    <d v="2026-03-18T00:00:00"/>
    <x v="1"/>
    <s v="Cape Town"/>
    <m/>
    <m/>
    <m/>
    <m/>
    <s v="NA"/>
    <n v="0"/>
    <n v="30"/>
    <x v="1"/>
  </r>
  <r>
    <n v="5"/>
    <x v="24"/>
    <d v="2026-03-18T00:00:00"/>
    <x v="2"/>
    <s v="Wilderness"/>
    <m/>
    <m/>
    <m/>
    <m/>
    <s v="NA"/>
    <n v="0"/>
    <n v="30"/>
    <x v="1"/>
  </r>
  <r>
    <n v="6"/>
    <x v="24"/>
    <d v="2026-03-18T00:00:00"/>
    <x v="2"/>
    <s v="Cape Town"/>
    <m/>
    <m/>
    <m/>
    <m/>
    <s v="NA"/>
    <n v="0"/>
    <n v="30"/>
    <x v="1"/>
  </r>
  <r>
    <n v="1"/>
    <x v="25"/>
    <d v="2026-03-19T00:00:00"/>
    <x v="0"/>
    <s v="Wilderness"/>
    <m/>
    <m/>
    <m/>
    <m/>
    <s v="NA"/>
    <n v="0"/>
    <n v="30"/>
    <x v="1"/>
  </r>
  <r>
    <n v="2"/>
    <x v="25"/>
    <d v="2026-03-19T00:00:00"/>
    <x v="0"/>
    <s v="Cape Town"/>
    <m/>
    <m/>
    <m/>
    <m/>
    <s v="NA"/>
    <n v="0"/>
    <n v="30"/>
    <x v="1"/>
  </r>
  <r>
    <n v="3"/>
    <x v="25"/>
    <d v="2026-03-19T00:00:00"/>
    <x v="1"/>
    <s v="Wilderness"/>
    <m/>
    <m/>
    <m/>
    <m/>
    <s v="NA"/>
    <n v="0"/>
    <n v="30"/>
    <x v="1"/>
  </r>
  <r>
    <n v="4"/>
    <x v="25"/>
    <d v="2026-03-19T00:00:00"/>
    <x v="1"/>
    <s v="Cape Town"/>
    <m/>
    <m/>
    <m/>
    <m/>
    <s v="NA"/>
    <n v="0"/>
    <n v="30"/>
    <x v="1"/>
  </r>
  <r>
    <n v="5"/>
    <x v="25"/>
    <d v="2026-03-19T00:00:00"/>
    <x v="2"/>
    <s v="Wilderness"/>
    <m/>
    <m/>
    <m/>
    <m/>
    <s v="NA"/>
    <n v="0"/>
    <n v="30"/>
    <x v="1"/>
  </r>
  <r>
    <n v="6"/>
    <x v="25"/>
    <d v="2026-03-19T00:00:00"/>
    <x v="2"/>
    <s v="Cape Town"/>
    <m/>
    <m/>
    <m/>
    <m/>
    <s v="NA"/>
    <n v="0"/>
    <n v="30"/>
    <x v="1"/>
  </r>
  <r>
    <n v="1"/>
    <x v="26"/>
    <d v="2026-03-20T00:00:00"/>
    <x v="0"/>
    <s v="Wilderness"/>
    <m/>
    <m/>
    <m/>
    <m/>
    <s v="NA"/>
    <n v="0"/>
    <n v="30"/>
    <x v="1"/>
  </r>
  <r>
    <n v="2"/>
    <x v="26"/>
    <d v="2026-03-20T00:00:00"/>
    <x v="0"/>
    <s v="Cape Town"/>
    <m/>
    <m/>
    <m/>
    <m/>
    <s v="NA"/>
    <n v="0"/>
    <n v="30"/>
    <x v="1"/>
  </r>
  <r>
    <n v="3"/>
    <x v="26"/>
    <d v="2026-03-20T00:00:00"/>
    <x v="1"/>
    <s v="Wilderness"/>
    <m/>
    <m/>
    <m/>
    <m/>
    <s v="NA"/>
    <n v="0"/>
    <n v="30"/>
    <x v="1"/>
  </r>
  <r>
    <n v="4"/>
    <x v="26"/>
    <d v="2026-03-20T00:00:00"/>
    <x v="1"/>
    <s v="Cape Town"/>
    <m/>
    <m/>
    <m/>
    <m/>
    <s v="NA"/>
    <n v="0"/>
    <n v="30"/>
    <x v="1"/>
  </r>
  <r>
    <n v="5"/>
    <x v="26"/>
    <d v="2026-03-20T00:00:00"/>
    <x v="2"/>
    <s v="Wilderness"/>
    <m/>
    <m/>
    <m/>
    <m/>
    <s v="NA"/>
    <n v="0"/>
    <n v="30"/>
    <x v="1"/>
  </r>
  <r>
    <n v="6"/>
    <x v="26"/>
    <d v="2026-03-20T00:00:00"/>
    <x v="2"/>
    <s v="Cape Town"/>
    <m/>
    <m/>
    <m/>
    <m/>
    <s v="NA"/>
    <n v="0"/>
    <n v="30"/>
    <x v="1"/>
  </r>
  <r>
    <n v="1"/>
    <x v="27"/>
    <d v="2026-03-21T00:00:00"/>
    <x v="0"/>
    <s v="Wilderness"/>
    <m/>
    <m/>
    <m/>
    <m/>
    <s v="NA"/>
    <n v="0"/>
    <n v="30"/>
    <x v="1"/>
  </r>
  <r>
    <n v="2"/>
    <x v="27"/>
    <d v="2026-03-21T00:00:00"/>
    <x v="0"/>
    <s v="Cape Town"/>
    <m/>
    <m/>
    <m/>
    <m/>
    <s v="NA"/>
    <n v="0"/>
    <n v="30"/>
    <x v="1"/>
  </r>
  <r>
    <n v="3"/>
    <x v="27"/>
    <d v="2026-03-21T00:00:00"/>
    <x v="1"/>
    <s v="Wilderness"/>
    <m/>
    <m/>
    <m/>
    <m/>
    <s v="NA"/>
    <n v="0"/>
    <n v="30"/>
    <x v="1"/>
  </r>
  <r>
    <n v="4"/>
    <x v="27"/>
    <d v="2026-03-21T00:00:00"/>
    <x v="1"/>
    <s v="Cape Town"/>
    <m/>
    <m/>
    <m/>
    <m/>
    <s v="NA"/>
    <n v="0"/>
    <n v="30"/>
    <x v="1"/>
  </r>
  <r>
    <n v="5"/>
    <x v="27"/>
    <d v="2026-03-21T00:00:00"/>
    <x v="2"/>
    <s v="Wilderness"/>
    <m/>
    <m/>
    <m/>
    <m/>
    <s v="NA"/>
    <n v="0"/>
    <n v="30"/>
    <x v="1"/>
  </r>
  <r>
    <n v="6"/>
    <x v="27"/>
    <d v="2026-03-21T00:00:00"/>
    <x v="2"/>
    <s v="Cape Town"/>
    <m/>
    <m/>
    <m/>
    <m/>
    <s v="NA"/>
    <n v="0"/>
    <n v="30"/>
    <x v="1"/>
  </r>
  <r>
    <n v="1"/>
    <x v="28"/>
    <d v="2026-03-22T00:00:00"/>
    <x v="0"/>
    <s v="Wilderness"/>
    <m/>
    <m/>
    <m/>
    <m/>
    <s v="NA"/>
    <n v="0"/>
    <n v="30"/>
    <x v="1"/>
  </r>
  <r>
    <n v="2"/>
    <x v="28"/>
    <d v="2026-03-22T00:00:00"/>
    <x v="0"/>
    <s v="Cape Town"/>
    <m/>
    <m/>
    <m/>
    <m/>
    <s v="NA"/>
    <n v="0"/>
    <n v="30"/>
    <x v="1"/>
  </r>
  <r>
    <n v="3"/>
    <x v="28"/>
    <d v="2026-03-22T00:00:00"/>
    <x v="1"/>
    <s v="Wilderness"/>
    <m/>
    <m/>
    <m/>
    <m/>
    <s v="NA"/>
    <n v="0"/>
    <n v="30"/>
    <x v="1"/>
  </r>
  <r>
    <n v="4"/>
    <x v="28"/>
    <d v="2026-03-22T00:00:00"/>
    <x v="1"/>
    <s v="Cape Town"/>
    <m/>
    <m/>
    <m/>
    <m/>
    <s v="NA"/>
    <n v="0"/>
    <n v="30"/>
    <x v="1"/>
  </r>
  <r>
    <n v="5"/>
    <x v="28"/>
    <d v="2026-03-22T00:00:00"/>
    <x v="2"/>
    <s v="Wilderness"/>
    <m/>
    <m/>
    <m/>
    <m/>
    <s v="NA"/>
    <n v="0"/>
    <n v="30"/>
    <x v="1"/>
  </r>
  <r>
    <n v="6"/>
    <x v="28"/>
    <d v="2026-03-22T00:00:00"/>
    <x v="2"/>
    <s v="Cape Town"/>
    <m/>
    <m/>
    <m/>
    <m/>
    <s v="NA"/>
    <n v="0"/>
    <n v="30"/>
    <x v="1"/>
  </r>
  <r>
    <n v="1"/>
    <x v="29"/>
    <d v="2026-03-23T00:00:00"/>
    <x v="0"/>
    <s v="Wilderness"/>
    <m/>
    <m/>
    <m/>
    <m/>
    <s v="NA"/>
    <n v="0"/>
    <n v="30"/>
    <x v="1"/>
  </r>
  <r>
    <n v="2"/>
    <x v="29"/>
    <d v="2026-03-23T00:00:00"/>
    <x v="0"/>
    <s v="Cape Town"/>
    <m/>
    <m/>
    <m/>
    <m/>
    <s v="NA"/>
    <n v="0"/>
    <n v="30"/>
    <x v="1"/>
  </r>
  <r>
    <n v="3"/>
    <x v="29"/>
    <d v="2026-03-23T00:00:00"/>
    <x v="1"/>
    <s v="Wilderness"/>
    <m/>
    <m/>
    <m/>
    <m/>
    <s v="NA"/>
    <n v="0"/>
    <n v="30"/>
    <x v="1"/>
  </r>
  <r>
    <n v="4"/>
    <x v="29"/>
    <d v="2026-03-23T00:00:00"/>
    <x v="1"/>
    <s v="Cape Town"/>
    <m/>
    <m/>
    <m/>
    <m/>
    <s v="NA"/>
    <n v="0"/>
    <n v="30"/>
    <x v="1"/>
  </r>
  <r>
    <n v="5"/>
    <x v="29"/>
    <d v="2026-03-23T00:00:00"/>
    <x v="2"/>
    <s v="Wilderness"/>
    <m/>
    <m/>
    <m/>
    <m/>
    <s v="NA"/>
    <n v="0"/>
    <n v="30"/>
    <x v="1"/>
  </r>
  <r>
    <n v="6"/>
    <x v="29"/>
    <d v="2026-03-23T00:00:00"/>
    <x v="2"/>
    <s v="Cape Town"/>
    <m/>
    <m/>
    <m/>
    <m/>
    <s v="NA"/>
    <n v="0"/>
    <n v="30"/>
    <x v="1"/>
  </r>
  <r>
    <n v="1"/>
    <x v="30"/>
    <d v="2026-03-24T00:00:00"/>
    <x v="0"/>
    <s v="Wilderness"/>
    <m/>
    <m/>
    <m/>
    <m/>
    <s v="NA"/>
    <n v="0"/>
    <n v="30"/>
    <x v="1"/>
  </r>
  <r>
    <n v="2"/>
    <x v="30"/>
    <d v="2026-03-24T00:00:00"/>
    <x v="0"/>
    <s v="Cape Town"/>
    <m/>
    <m/>
    <m/>
    <m/>
    <s v="NA"/>
    <n v="0"/>
    <n v="30"/>
    <x v="1"/>
  </r>
  <r>
    <n v="3"/>
    <x v="30"/>
    <d v="2026-03-24T00:00:00"/>
    <x v="1"/>
    <s v="Wilderness"/>
    <m/>
    <m/>
    <m/>
    <m/>
    <s v="NA"/>
    <n v="0"/>
    <n v="30"/>
    <x v="1"/>
  </r>
  <r>
    <n v="4"/>
    <x v="30"/>
    <d v="2026-03-24T00:00:00"/>
    <x v="1"/>
    <s v="Cape Town"/>
    <m/>
    <m/>
    <m/>
    <m/>
    <s v="NA"/>
    <n v="0"/>
    <n v="30"/>
    <x v="1"/>
  </r>
  <r>
    <n v="5"/>
    <x v="30"/>
    <d v="2026-03-24T00:00:00"/>
    <x v="2"/>
    <s v="Wilderness"/>
    <m/>
    <m/>
    <m/>
    <m/>
    <s v="NA"/>
    <n v="0"/>
    <n v="30"/>
    <x v="1"/>
  </r>
  <r>
    <n v="6"/>
    <x v="30"/>
    <d v="2026-03-24T00:00:00"/>
    <x v="2"/>
    <s v="Cape Town"/>
    <m/>
    <m/>
    <m/>
    <m/>
    <s v="NA"/>
    <n v="0"/>
    <n v="30"/>
    <x v="1"/>
  </r>
  <r>
    <n v="1"/>
    <x v="31"/>
    <d v="2026-03-25T00:00:00"/>
    <x v="0"/>
    <s v="Wilderness"/>
    <m/>
    <m/>
    <m/>
    <m/>
    <s v="NA"/>
    <n v="0"/>
    <n v="30"/>
    <x v="1"/>
  </r>
  <r>
    <n v="2"/>
    <x v="31"/>
    <d v="2026-03-25T00:00:00"/>
    <x v="0"/>
    <s v="Cape Town"/>
    <m/>
    <m/>
    <m/>
    <m/>
    <s v="NA"/>
    <n v="0"/>
    <n v="30"/>
    <x v="1"/>
  </r>
  <r>
    <n v="3"/>
    <x v="31"/>
    <d v="2026-03-25T00:00:00"/>
    <x v="1"/>
    <s v="Wilderness"/>
    <m/>
    <m/>
    <m/>
    <m/>
    <s v="NA"/>
    <n v="0"/>
    <n v="30"/>
    <x v="1"/>
  </r>
  <r>
    <n v="4"/>
    <x v="31"/>
    <d v="2026-03-25T00:00:00"/>
    <x v="1"/>
    <s v="Cape Town"/>
    <m/>
    <m/>
    <m/>
    <m/>
    <s v="NA"/>
    <n v="0"/>
    <n v="30"/>
    <x v="1"/>
  </r>
  <r>
    <n v="5"/>
    <x v="31"/>
    <d v="2026-03-25T00:00:00"/>
    <x v="2"/>
    <s v="Wilderness"/>
    <m/>
    <m/>
    <m/>
    <m/>
    <s v="NA"/>
    <n v="0"/>
    <n v="30"/>
    <x v="1"/>
  </r>
  <r>
    <n v="6"/>
    <x v="31"/>
    <d v="2026-03-25T00:00:00"/>
    <x v="2"/>
    <s v="Cape Town"/>
    <m/>
    <m/>
    <m/>
    <m/>
    <s v="NA"/>
    <n v="0"/>
    <n v="30"/>
    <x v="1"/>
  </r>
  <r>
    <n v="1"/>
    <x v="32"/>
    <d v="2026-03-26T00:00:00"/>
    <x v="0"/>
    <s v="Wilderness"/>
    <m/>
    <m/>
    <m/>
    <m/>
    <s v="NA"/>
    <n v="0"/>
    <n v="30"/>
    <x v="1"/>
  </r>
  <r>
    <n v="2"/>
    <x v="32"/>
    <d v="2026-03-26T00:00:00"/>
    <x v="0"/>
    <s v="Cape Town"/>
    <m/>
    <m/>
    <m/>
    <m/>
    <s v="NA"/>
    <n v="0"/>
    <n v="30"/>
    <x v="1"/>
  </r>
  <r>
    <n v="3"/>
    <x v="32"/>
    <d v="2026-03-26T00:00:00"/>
    <x v="1"/>
    <s v="Wilderness"/>
    <m/>
    <m/>
    <m/>
    <m/>
    <s v="NA"/>
    <n v="0"/>
    <n v="30"/>
    <x v="1"/>
  </r>
  <r>
    <n v="4"/>
    <x v="32"/>
    <d v="2026-03-26T00:00:00"/>
    <x v="1"/>
    <s v="Cape Town"/>
    <m/>
    <m/>
    <m/>
    <m/>
    <s v="NA"/>
    <n v="0"/>
    <n v="30"/>
    <x v="1"/>
  </r>
  <r>
    <n v="5"/>
    <x v="32"/>
    <d v="2026-03-26T00:00:00"/>
    <x v="2"/>
    <s v="Wilderness"/>
    <m/>
    <m/>
    <m/>
    <m/>
    <s v="NA"/>
    <n v="0"/>
    <n v="30"/>
    <x v="1"/>
  </r>
  <r>
    <n v="6"/>
    <x v="32"/>
    <d v="2026-03-26T00:00:00"/>
    <x v="2"/>
    <s v="Cape Town"/>
    <m/>
    <m/>
    <m/>
    <m/>
    <s v="NA"/>
    <n v="0"/>
    <n v="30"/>
    <x v="1"/>
  </r>
  <r>
    <n v="1"/>
    <x v="33"/>
    <d v="2026-03-27T00:00:00"/>
    <x v="0"/>
    <s v="Wilderness"/>
    <m/>
    <m/>
    <m/>
    <m/>
    <s v="NA"/>
    <n v="0"/>
    <n v="30"/>
    <x v="1"/>
  </r>
  <r>
    <n v="2"/>
    <x v="33"/>
    <d v="2026-03-27T00:00:00"/>
    <x v="0"/>
    <s v="Cape Town"/>
    <m/>
    <m/>
    <m/>
    <m/>
    <s v="NA"/>
    <n v="0"/>
    <n v="30"/>
    <x v="1"/>
  </r>
  <r>
    <n v="3"/>
    <x v="33"/>
    <d v="2026-03-27T00:00:00"/>
    <x v="1"/>
    <s v="Wilderness"/>
    <m/>
    <m/>
    <m/>
    <m/>
    <s v="NA"/>
    <n v="0"/>
    <n v="30"/>
    <x v="1"/>
  </r>
  <r>
    <n v="4"/>
    <x v="33"/>
    <d v="2026-03-27T00:00:00"/>
    <x v="1"/>
    <s v="Cape Town"/>
    <m/>
    <m/>
    <m/>
    <m/>
    <s v="NA"/>
    <n v="0"/>
    <n v="30"/>
    <x v="1"/>
  </r>
  <r>
    <n v="5"/>
    <x v="33"/>
    <d v="2026-03-27T00:00:00"/>
    <x v="2"/>
    <s v="Wilderness"/>
    <m/>
    <m/>
    <m/>
    <m/>
    <s v="NA"/>
    <n v="0"/>
    <n v="30"/>
    <x v="1"/>
  </r>
  <r>
    <n v="6"/>
    <x v="33"/>
    <d v="2026-03-27T00:00:00"/>
    <x v="2"/>
    <s v="Cape Town"/>
    <m/>
    <m/>
    <m/>
    <m/>
    <s v="NA"/>
    <n v="0"/>
    <n v="30"/>
    <x v="1"/>
  </r>
  <r>
    <n v="1"/>
    <x v="34"/>
    <d v="2026-03-28T00:00:00"/>
    <x v="0"/>
    <s v="Wilderness"/>
    <m/>
    <m/>
    <m/>
    <m/>
    <s v="NA"/>
    <n v="0"/>
    <n v="30"/>
    <x v="1"/>
  </r>
  <r>
    <n v="2"/>
    <x v="34"/>
    <d v="2026-03-28T00:00:00"/>
    <x v="0"/>
    <s v="Cape Town"/>
    <m/>
    <m/>
    <m/>
    <m/>
    <s v="NA"/>
    <n v="0"/>
    <n v="30"/>
    <x v="1"/>
  </r>
  <r>
    <n v="3"/>
    <x v="34"/>
    <d v="2026-03-28T00:00:00"/>
    <x v="1"/>
    <s v="Wilderness"/>
    <m/>
    <m/>
    <m/>
    <m/>
    <s v="NA"/>
    <n v="0"/>
    <n v="30"/>
    <x v="1"/>
  </r>
  <r>
    <n v="4"/>
    <x v="34"/>
    <d v="2026-03-28T00:00:00"/>
    <x v="1"/>
    <s v="Cape Town"/>
    <m/>
    <m/>
    <m/>
    <m/>
    <s v="NA"/>
    <n v="0"/>
    <n v="30"/>
    <x v="1"/>
  </r>
  <r>
    <n v="5"/>
    <x v="34"/>
    <d v="2026-03-28T00:00:00"/>
    <x v="2"/>
    <s v="Wilderness"/>
    <m/>
    <m/>
    <m/>
    <m/>
    <s v="NA"/>
    <n v="0"/>
    <n v="30"/>
    <x v="1"/>
  </r>
  <r>
    <n v="6"/>
    <x v="34"/>
    <d v="2026-03-28T00:00:00"/>
    <x v="2"/>
    <s v="Cape Town"/>
    <m/>
    <m/>
    <m/>
    <m/>
    <s v="NA"/>
    <n v="0"/>
    <n v="30"/>
    <x v="1"/>
  </r>
  <r>
    <n v="1"/>
    <x v="35"/>
    <d v="2026-03-29T00:00:00"/>
    <x v="0"/>
    <s v="Wilderness"/>
    <m/>
    <m/>
    <m/>
    <m/>
    <s v="NA"/>
    <n v="0"/>
    <n v="30"/>
    <x v="1"/>
  </r>
  <r>
    <n v="2"/>
    <x v="35"/>
    <d v="2026-03-29T00:00:00"/>
    <x v="0"/>
    <s v="Cape Town"/>
    <m/>
    <m/>
    <m/>
    <m/>
    <s v="NA"/>
    <n v="0"/>
    <n v="30"/>
    <x v="1"/>
  </r>
  <r>
    <n v="3"/>
    <x v="35"/>
    <d v="2026-03-29T00:00:00"/>
    <x v="1"/>
    <s v="Wilderness"/>
    <m/>
    <m/>
    <m/>
    <m/>
    <s v="NA"/>
    <n v="0"/>
    <n v="30"/>
    <x v="1"/>
  </r>
  <r>
    <n v="4"/>
    <x v="35"/>
    <d v="2026-03-29T00:00:00"/>
    <x v="1"/>
    <s v="Cape Town"/>
    <m/>
    <m/>
    <m/>
    <m/>
    <s v="NA"/>
    <n v="0"/>
    <n v="30"/>
    <x v="1"/>
  </r>
  <r>
    <n v="5"/>
    <x v="35"/>
    <d v="2026-03-29T00:00:00"/>
    <x v="2"/>
    <s v="Wilderness"/>
    <m/>
    <m/>
    <m/>
    <m/>
    <s v="NA"/>
    <n v="0"/>
    <n v="30"/>
    <x v="1"/>
  </r>
  <r>
    <n v="6"/>
    <x v="35"/>
    <d v="2026-03-29T00:00:00"/>
    <x v="2"/>
    <s v="Cape Town"/>
    <m/>
    <m/>
    <m/>
    <m/>
    <s v="NA"/>
    <n v="0"/>
    <n v="30"/>
    <x v="1"/>
  </r>
  <r>
    <n v="1"/>
    <x v="36"/>
    <d v="2026-03-30T00:00:00"/>
    <x v="0"/>
    <s v="Wilderness"/>
    <m/>
    <m/>
    <m/>
    <m/>
    <s v="NA"/>
    <n v="0"/>
    <n v="30"/>
    <x v="1"/>
  </r>
  <r>
    <n v="2"/>
    <x v="36"/>
    <d v="2026-03-30T00:00:00"/>
    <x v="0"/>
    <s v="Cape Town"/>
    <m/>
    <m/>
    <m/>
    <m/>
    <s v="NA"/>
    <n v="0"/>
    <n v="30"/>
    <x v="1"/>
  </r>
  <r>
    <n v="3"/>
    <x v="36"/>
    <d v="2026-03-30T00:00:00"/>
    <x v="1"/>
    <s v="Wilderness"/>
    <m/>
    <m/>
    <m/>
    <m/>
    <s v="NA"/>
    <n v="0"/>
    <n v="30"/>
    <x v="1"/>
  </r>
  <r>
    <n v="4"/>
    <x v="36"/>
    <d v="2026-03-30T00:00:00"/>
    <x v="1"/>
    <s v="Cape Town"/>
    <m/>
    <m/>
    <m/>
    <m/>
    <s v="NA"/>
    <n v="0"/>
    <n v="30"/>
    <x v="1"/>
  </r>
  <r>
    <n v="5"/>
    <x v="36"/>
    <d v="2026-03-30T00:00:00"/>
    <x v="2"/>
    <s v="Wilderness"/>
    <m/>
    <m/>
    <m/>
    <m/>
    <s v="NA"/>
    <n v="0"/>
    <n v="30"/>
    <x v="1"/>
  </r>
  <r>
    <n v="6"/>
    <x v="36"/>
    <d v="2026-03-30T00:00:00"/>
    <x v="2"/>
    <s v="Cape Town"/>
    <m/>
    <m/>
    <m/>
    <m/>
    <s v="NA"/>
    <n v="0"/>
    <n v="30"/>
    <x v="1"/>
  </r>
  <r>
    <n v="1"/>
    <x v="37"/>
    <d v="2026-03-31T00:00:00"/>
    <x v="0"/>
    <s v="Wilderness"/>
    <m/>
    <m/>
    <m/>
    <m/>
    <s v="NA"/>
    <n v="0"/>
    <n v="30"/>
    <x v="1"/>
  </r>
  <r>
    <n v="2"/>
    <x v="37"/>
    <d v="2026-03-31T00:00:00"/>
    <x v="0"/>
    <s v="Cape Town"/>
    <m/>
    <m/>
    <m/>
    <m/>
    <s v="NA"/>
    <n v="0"/>
    <n v="30"/>
    <x v="1"/>
  </r>
  <r>
    <n v="3"/>
    <x v="37"/>
    <d v="2026-03-31T00:00:00"/>
    <x v="1"/>
    <s v="Wilderness"/>
    <m/>
    <m/>
    <m/>
    <m/>
    <s v="NA"/>
    <n v="0"/>
    <n v="30"/>
    <x v="1"/>
  </r>
  <r>
    <n v="4"/>
    <x v="37"/>
    <d v="2026-03-31T00:00:00"/>
    <x v="1"/>
    <s v="Cape Town"/>
    <m/>
    <m/>
    <m/>
    <m/>
    <s v="NA"/>
    <n v="0"/>
    <n v="30"/>
    <x v="1"/>
  </r>
  <r>
    <n v="5"/>
    <x v="37"/>
    <d v="2026-03-31T00:00:00"/>
    <x v="2"/>
    <s v="Wilderness"/>
    <m/>
    <m/>
    <m/>
    <m/>
    <s v="NA"/>
    <n v="0"/>
    <n v="30"/>
    <x v="1"/>
  </r>
  <r>
    <n v="6"/>
    <x v="37"/>
    <d v="2026-03-31T00:00:00"/>
    <x v="2"/>
    <s v="Cape Town"/>
    <m/>
    <m/>
    <m/>
    <m/>
    <s v="NA"/>
    <n v="0"/>
    <n v="30"/>
    <x v="1"/>
  </r>
  <r>
    <n v="1"/>
    <x v="38"/>
    <d v="2026-04-01T00:00:00"/>
    <x v="0"/>
    <s v="Wilderness"/>
    <m/>
    <m/>
    <m/>
    <m/>
    <s v="NA"/>
    <n v="0"/>
    <n v="30"/>
    <x v="1"/>
  </r>
  <r>
    <n v="2"/>
    <x v="38"/>
    <d v="2026-04-01T00:00:00"/>
    <x v="0"/>
    <s v="Cape Town"/>
    <m/>
    <m/>
    <m/>
    <m/>
    <s v="NA"/>
    <n v="0"/>
    <n v="30"/>
    <x v="1"/>
  </r>
  <r>
    <n v="3"/>
    <x v="38"/>
    <d v="2026-04-01T00:00:00"/>
    <x v="1"/>
    <s v="Wilderness"/>
    <m/>
    <m/>
    <m/>
    <m/>
    <s v="NA"/>
    <n v="0"/>
    <n v="30"/>
    <x v="1"/>
  </r>
  <r>
    <n v="4"/>
    <x v="38"/>
    <d v="2026-04-01T00:00:00"/>
    <x v="1"/>
    <s v="Cape Town"/>
    <m/>
    <m/>
    <m/>
    <m/>
    <s v="NA"/>
    <n v="0"/>
    <n v="30"/>
    <x v="1"/>
  </r>
  <r>
    <n v="5"/>
    <x v="38"/>
    <d v="2026-04-01T00:00:00"/>
    <x v="2"/>
    <s v="Wilderness"/>
    <m/>
    <m/>
    <m/>
    <m/>
    <s v="NA"/>
    <n v="0"/>
    <n v="30"/>
    <x v="1"/>
  </r>
  <r>
    <n v="6"/>
    <x v="38"/>
    <d v="2026-04-01T00:00:00"/>
    <x v="2"/>
    <s v="Cape Town"/>
    <m/>
    <m/>
    <m/>
    <m/>
    <s v="NA"/>
    <n v="0"/>
    <n v="30"/>
    <x v="1"/>
  </r>
  <r>
    <n v="1"/>
    <x v="39"/>
    <d v="2026-04-02T00:00:00"/>
    <x v="0"/>
    <s v="Wilderness"/>
    <m/>
    <m/>
    <m/>
    <m/>
    <s v="NA"/>
    <n v="0"/>
    <n v="30"/>
    <x v="1"/>
  </r>
  <r>
    <n v="2"/>
    <x v="39"/>
    <d v="2026-04-02T00:00:00"/>
    <x v="0"/>
    <s v="Cape Town"/>
    <m/>
    <m/>
    <m/>
    <m/>
    <s v="NA"/>
    <n v="0"/>
    <n v="30"/>
    <x v="1"/>
  </r>
  <r>
    <n v="3"/>
    <x v="39"/>
    <d v="2026-04-02T00:00:00"/>
    <x v="1"/>
    <s v="Wilderness"/>
    <m/>
    <m/>
    <m/>
    <m/>
    <s v="NA"/>
    <n v="0"/>
    <n v="30"/>
    <x v="1"/>
  </r>
  <r>
    <n v="4"/>
    <x v="39"/>
    <d v="2026-04-02T00:00:00"/>
    <x v="1"/>
    <s v="Cape Town"/>
    <m/>
    <m/>
    <m/>
    <m/>
    <s v="NA"/>
    <n v="0"/>
    <n v="30"/>
    <x v="1"/>
  </r>
  <r>
    <n v="5"/>
    <x v="39"/>
    <d v="2026-04-02T00:00:00"/>
    <x v="2"/>
    <s v="Wilderness"/>
    <m/>
    <m/>
    <m/>
    <m/>
    <s v="NA"/>
    <n v="0"/>
    <n v="30"/>
    <x v="1"/>
  </r>
  <r>
    <n v="6"/>
    <x v="39"/>
    <d v="2026-04-02T00:00:00"/>
    <x v="2"/>
    <s v="Cape Town"/>
    <m/>
    <m/>
    <m/>
    <m/>
    <s v="NA"/>
    <n v="0"/>
    <n v="30"/>
    <x v="1"/>
  </r>
  <r>
    <n v="1"/>
    <x v="40"/>
    <d v="2026-04-03T00:00:00"/>
    <x v="0"/>
    <s v="Wilderness"/>
    <m/>
    <m/>
    <m/>
    <m/>
    <s v="NA"/>
    <n v="0"/>
    <n v="30"/>
    <x v="1"/>
  </r>
  <r>
    <n v="2"/>
    <x v="40"/>
    <d v="2026-04-03T00:00:00"/>
    <x v="0"/>
    <s v="Cape Town"/>
    <m/>
    <m/>
    <m/>
    <m/>
    <s v="NA"/>
    <n v="0"/>
    <n v="30"/>
    <x v="1"/>
  </r>
  <r>
    <n v="3"/>
    <x v="40"/>
    <d v="2026-04-03T00:00:00"/>
    <x v="1"/>
    <s v="Wilderness"/>
    <m/>
    <m/>
    <m/>
    <m/>
    <s v="NA"/>
    <n v="0"/>
    <n v="30"/>
    <x v="1"/>
  </r>
  <r>
    <n v="4"/>
    <x v="40"/>
    <d v="2026-04-03T00:00:00"/>
    <x v="1"/>
    <s v="Cape Town"/>
    <m/>
    <m/>
    <m/>
    <m/>
    <s v="NA"/>
    <n v="0"/>
    <n v="30"/>
    <x v="1"/>
  </r>
  <r>
    <n v="5"/>
    <x v="40"/>
    <d v="2026-04-03T00:00:00"/>
    <x v="2"/>
    <s v="Wilderness"/>
    <m/>
    <m/>
    <m/>
    <m/>
    <s v="NA"/>
    <n v="0"/>
    <n v="30"/>
    <x v="1"/>
  </r>
  <r>
    <n v="6"/>
    <x v="40"/>
    <d v="2026-04-03T00:00:00"/>
    <x v="2"/>
    <s v="Cape Town"/>
    <m/>
    <m/>
    <m/>
    <m/>
    <s v="NA"/>
    <n v="0"/>
    <n v="30"/>
    <x v="1"/>
  </r>
  <r>
    <n v="1"/>
    <x v="41"/>
    <d v="2026-04-04T00:00:00"/>
    <x v="0"/>
    <s v="Wilderness"/>
    <m/>
    <m/>
    <m/>
    <m/>
    <s v="NA"/>
    <n v="0"/>
    <n v="30"/>
    <x v="1"/>
  </r>
  <r>
    <n v="2"/>
    <x v="41"/>
    <d v="2026-04-04T00:00:00"/>
    <x v="0"/>
    <s v="Cape Town"/>
    <m/>
    <m/>
    <m/>
    <m/>
    <s v="NA"/>
    <n v="0"/>
    <n v="30"/>
    <x v="1"/>
  </r>
  <r>
    <n v="3"/>
    <x v="41"/>
    <d v="2026-04-04T00:00:00"/>
    <x v="1"/>
    <s v="Wilderness"/>
    <m/>
    <m/>
    <m/>
    <m/>
    <s v="NA"/>
    <n v="0"/>
    <n v="30"/>
    <x v="1"/>
  </r>
  <r>
    <n v="4"/>
    <x v="41"/>
    <d v="2026-04-04T00:00:00"/>
    <x v="1"/>
    <s v="Cape Town"/>
    <m/>
    <m/>
    <m/>
    <m/>
    <s v="NA"/>
    <n v="0"/>
    <n v="30"/>
    <x v="1"/>
  </r>
  <r>
    <n v="5"/>
    <x v="41"/>
    <d v="2026-04-04T00:00:00"/>
    <x v="2"/>
    <s v="Wilderness"/>
    <m/>
    <m/>
    <m/>
    <m/>
    <s v="NA"/>
    <n v="0"/>
    <n v="30"/>
    <x v="1"/>
  </r>
  <r>
    <n v="6"/>
    <x v="41"/>
    <d v="2026-04-04T00:00:00"/>
    <x v="2"/>
    <s v="Cape Town"/>
    <m/>
    <m/>
    <m/>
    <m/>
    <s v="NA"/>
    <n v="0"/>
    <n v="30"/>
    <x v="1"/>
  </r>
  <r>
    <n v="1"/>
    <x v="42"/>
    <d v="2026-04-05T00:00:00"/>
    <x v="0"/>
    <s v="Wilderness"/>
    <m/>
    <m/>
    <m/>
    <m/>
    <s v="NA"/>
    <n v="0"/>
    <n v="30"/>
    <x v="1"/>
  </r>
  <r>
    <n v="2"/>
    <x v="42"/>
    <d v="2026-04-05T00:00:00"/>
    <x v="0"/>
    <s v="Cape Town"/>
    <m/>
    <m/>
    <m/>
    <m/>
    <s v="NA"/>
    <n v="0"/>
    <n v="30"/>
    <x v="1"/>
  </r>
  <r>
    <n v="3"/>
    <x v="42"/>
    <d v="2026-04-05T00:00:00"/>
    <x v="1"/>
    <s v="Wilderness"/>
    <m/>
    <m/>
    <m/>
    <m/>
    <s v="NA"/>
    <n v="0"/>
    <n v="30"/>
    <x v="1"/>
  </r>
  <r>
    <n v="4"/>
    <x v="42"/>
    <d v="2026-04-05T00:00:00"/>
    <x v="1"/>
    <s v="Cape Town"/>
    <m/>
    <m/>
    <m/>
    <m/>
    <s v="NA"/>
    <n v="0"/>
    <n v="30"/>
    <x v="1"/>
  </r>
  <r>
    <n v="5"/>
    <x v="42"/>
    <d v="2026-04-05T00:00:00"/>
    <x v="2"/>
    <s v="Wilderness"/>
    <m/>
    <m/>
    <m/>
    <m/>
    <s v="NA"/>
    <n v="0"/>
    <n v="30"/>
    <x v="1"/>
  </r>
  <r>
    <n v="6"/>
    <x v="42"/>
    <d v="2026-04-05T00:00:00"/>
    <x v="2"/>
    <s v="Cape Town"/>
    <m/>
    <m/>
    <m/>
    <m/>
    <s v="NA"/>
    <n v="0"/>
    <n v="30"/>
    <x v="1"/>
  </r>
  <r>
    <n v="1"/>
    <x v="43"/>
    <d v="2026-04-06T00:00:00"/>
    <x v="0"/>
    <s v="Wilderness"/>
    <m/>
    <m/>
    <m/>
    <m/>
    <s v="NA"/>
    <n v="0"/>
    <n v="30"/>
    <x v="1"/>
  </r>
  <r>
    <n v="2"/>
    <x v="43"/>
    <d v="2026-04-06T00:00:00"/>
    <x v="0"/>
    <s v="Cape Town"/>
    <m/>
    <m/>
    <m/>
    <m/>
    <s v="NA"/>
    <n v="0"/>
    <n v="30"/>
    <x v="1"/>
  </r>
  <r>
    <n v="3"/>
    <x v="43"/>
    <d v="2026-04-06T00:00:00"/>
    <x v="1"/>
    <s v="Wilderness"/>
    <m/>
    <m/>
    <m/>
    <m/>
    <s v="NA"/>
    <n v="0"/>
    <n v="30"/>
    <x v="1"/>
  </r>
  <r>
    <n v="4"/>
    <x v="43"/>
    <d v="2026-04-06T00:00:00"/>
    <x v="1"/>
    <s v="Cape Town"/>
    <m/>
    <m/>
    <m/>
    <m/>
    <s v="NA"/>
    <n v="0"/>
    <n v="30"/>
    <x v="1"/>
  </r>
  <r>
    <n v="5"/>
    <x v="43"/>
    <d v="2026-04-06T00:00:00"/>
    <x v="2"/>
    <s v="Wilderness"/>
    <m/>
    <m/>
    <m/>
    <m/>
    <s v="NA"/>
    <n v="0"/>
    <n v="30"/>
    <x v="1"/>
  </r>
  <r>
    <n v="6"/>
    <x v="43"/>
    <d v="2026-04-06T00:00:00"/>
    <x v="2"/>
    <s v="Cape Town"/>
    <m/>
    <m/>
    <m/>
    <m/>
    <s v="NA"/>
    <n v="0"/>
    <n v="30"/>
    <x v="1"/>
  </r>
  <r>
    <n v="1"/>
    <x v="44"/>
    <d v="2026-04-07T00:00:00"/>
    <x v="0"/>
    <s v="Wilderness"/>
    <m/>
    <m/>
    <m/>
    <m/>
    <s v="NA"/>
    <n v="0"/>
    <n v="30"/>
    <x v="1"/>
  </r>
  <r>
    <n v="2"/>
    <x v="44"/>
    <d v="2026-04-07T00:00:00"/>
    <x v="0"/>
    <s v="Cape Town"/>
    <m/>
    <m/>
    <m/>
    <m/>
    <s v="NA"/>
    <n v="0"/>
    <n v="30"/>
    <x v="1"/>
  </r>
  <r>
    <n v="3"/>
    <x v="44"/>
    <d v="2026-04-07T00:00:00"/>
    <x v="1"/>
    <s v="Wilderness"/>
    <m/>
    <m/>
    <m/>
    <m/>
    <s v="NA"/>
    <n v="0"/>
    <n v="30"/>
    <x v="1"/>
  </r>
  <r>
    <n v="4"/>
    <x v="44"/>
    <d v="2026-04-07T00:00:00"/>
    <x v="1"/>
    <s v="Cape Town"/>
    <m/>
    <m/>
    <m/>
    <m/>
    <s v="NA"/>
    <n v="0"/>
    <n v="30"/>
    <x v="1"/>
  </r>
  <r>
    <n v="5"/>
    <x v="44"/>
    <d v="2026-04-07T00:00:00"/>
    <x v="2"/>
    <s v="Wilderness"/>
    <m/>
    <m/>
    <m/>
    <m/>
    <s v="NA"/>
    <n v="0"/>
    <n v="30"/>
    <x v="1"/>
  </r>
  <r>
    <n v="6"/>
    <x v="44"/>
    <d v="2026-04-07T00:00:00"/>
    <x v="2"/>
    <s v="Cape Town"/>
    <m/>
    <m/>
    <m/>
    <m/>
    <s v="NA"/>
    <n v="0"/>
    <n v="30"/>
    <x v="1"/>
  </r>
  <r>
    <n v="1"/>
    <x v="45"/>
    <d v="2026-04-08T00:00:00"/>
    <x v="0"/>
    <s v="Wilderness"/>
    <m/>
    <m/>
    <m/>
    <m/>
    <s v="NA"/>
    <n v="0"/>
    <n v="30"/>
    <x v="1"/>
  </r>
  <r>
    <n v="2"/>
    <x v="45"/>
    <d v="2026-04-08T00:00:00"/>
    <x v="0"/>
    <s v="Cape Town"/>
    <m/>
    <m/>
    <m/>
    <m/>
    <s v="NA"/>
    <n v="0"/>
    <n v="30"/>
    <x v="1"/>
  </r>
  <r>
    <n v="3"/>
    <x v="45"/>
    <d v="2026-04-08T00:00:00"/>
    <x v="1"/>
    <s v="Wilderness"/>
    <m/>
    <m/>
    <m/>
    <m/>
    <s v="NA"/>
    <n v="0"/>
    <n v="30"/>
    <x v="1"/>
  </r>
  <r>
    <n v="4"/>
    <x v="45"/>
    <d v="2026-04-08T00:00:00"/>
    <x v="1"/>
    <s v="Cape Town"/>
    <m/>
    <m/>
    <m/>
    <m/>
    <s v="NA"/>
    <n v="0"/>
    <n v="30"/>
    <x v="1"/>
  </r>
  <r>
    <n v="5"/>
    <x v="45"/>
    <d v="2026-04-08T00:00:00"/>
    <x v="2"/>
    <s v="Wilderness"/>
    <m/>
    <m/>
    <m/>
    <m/>
    <s v="NA"/>
    <n v="0"/>
    <n v="30"/>
    <x v="1"/>
  </r>
  <r>
    <n v="6"/>
    <x v="45"/>
    <d v="2026-04-08T00:00:00"/>
    <x v="2"/>
    <s v="Cape Town"/>
    <m/>
    <m/>
    <m/>
    <m/>
    <s v="NA"/>
    <n v="0"/>
    <n v="30"/>
    <x v="1"/>
  </r>
  <r>
    <n v="1"/>
    <x v="46"/>
    <d v="2026-04-09T00:00:00"/>
    <x v="0"/>
    <s v="Wilderness"/>
    <m/>
    <m/>
    <m/>
    <m/>
    <s v="NA"/>
    <n v="0"/>
    <n v="30"/>
    <x v="1"/>
  </r>
  <r>
    <n v="2"/>
    <x v="46"/>
    <d v="2026-04-09T00:00:00"/>
    <x v="0"/>
    <s v="Cape Town"/>
    <m/>
    <m/>
    <m/>
    <m/>
    <s v="NA"/>
    <n v="0"/>
    <n v="30"/>
    <x v="1"/>
  </r>
  <r>
    <n v="3"/>
    <x v="46"/>
    <d v="2026-04-09T00:00:00"/>
    <x v="1"/>
    <s v="Wilderness"/>
    <m/>
    <m/>
    <m/>
    <m/>
    <s v="NA"/>
    <n v="0"/>
    <n v="30"/>
    <x v="1"/>
  </r>
  <r>
    <n v="4"/>
    <x v="46"/>
    <d v="2026-04-09T00:00:00"/>
    <x v="1"/>
    <s v="Cape Town"/>
    <m/>
    <m/>
    <m/>
    <m/>
    <s v="NA"/>
    <n v="0"/>
    <n v="30"/>
    <x v="1"/>
  </r>
  <r>
    <n v="5"/>
    <x v="46"/>
    <d v="2026-04-09T00:00:00"/>
    <x v="2"/>
    <s v="Wilderness"/>
    <m/>
    <m/>
    <m/>
    <m/>
    <s v="NA"/>
    <n v="0"/>
    <n v="30"/>
    <x v="1"/>
  </r>
  <r>
    <n v="6"/>
    <x v="46"/>
    <d v="2026-04-09T00:00:00"/>
    <x v="2"/>
    <s v="Cape Town"/>
    <m/>
    <m/>
    <m/>
    <m/>
    <s v="NA"/>
    <n v="0"/>
    <n v="30"/>
    <x v="1"/>
  </r>
  <r>
    <n v="1"/>
    <x v="47"/>
    <d v="2026-04-10T00:00:00"/>
    <x v="0"/>
    <s v="Wilderness"/>
    <m/>
    <m/>
    <m/>
    <m/>
    <s v="NA"/>
    <n v="0"/>
    <n v="30"/>
    <x v="1"/>
  </r>
  <r>
    <n v="2"/>
    <x v="47"/>
    <d v="2026-04-10T00:00:00"/>
    <x v="0"/>
    <s v="Cape Town"/>
    <m/>
    <m/>
    <m/>
    <m/>
    <s v="NA"/>
    <n v="0"/>
    <n v="30"/>
    <x v="1"/>
  </r>
  <r>
    <n v="3"/>
    <x v="47"/>
    <d v="2026-04-10T00:00:00"/>
    <x v="1"/>
    <s v="Wilderness"/>
    <m/>
    <m/>
    <m/>
    <m/>
    <s v="NA"/>
    <n v="0"/>
    <n v="30"/>
    <x v="1"/>
  </r>
  <r>
    <n v="4"/>
    <x v="47"/>
    <d v="2026-04-10T00:00:00"/>
    <x v="1"/>
    <s v="Cape Town"/>
    <m/>
    <m/>
    <m/>
    <m/>
    <s v="NA"/>
    <n v="0"/>
    <n v="30"/>
    <x v="1"/>
  </r>
  <r>
    <n v="5"/>
    <x v="47"/>
    <d v="2026-04-10T00:00:00"/>
    <x v="2"/>
    <s v="Wilderness"/>
    <m/>
    <m/>
    <m/>
    <m/>
    <s v="NA"/>
    <n v="0"/>
    <n v="30"/>
    <x v="1"/>
  </r>
  <r>
    <n v="6"/>
    <x v="47"/>
    <d v="2026-04-10T00:00:00"/>
    <x v="2"/>
    <s v="Cape Town"/>
    <m/>
    <m/>
    <m/>
    <m/>
    <s v="NA"/>
    <n v="0"/>
    <n v="30"/>
    <x v="1"/>
  </r>
  <r>
    <n v="1"/>
    <x v="48"/>
    <d v="2026-04-11T00:00:00"/>
    <x v="0"/>
    <s v="Wilderness"/>
    <m/>
    <m/>
    <m/>
    <m/>
    <s v="NA"/>
    <n v="0"/>
    <n v="30"/>
    <x v="1"/>
  </r>
  <r>
    <n v="2"/>
    <x v="48"/>
    <d v="2026-04-11T00:00:00"/>
    <x v="0"/>
    <s v="Cape Town"/>
    <m/>
    <m/>
    <m/>
    <m/>
    <s v="NA"/>
    <n v="0"/>
    <n v="30"/>
    <x v="1"/>
  </r>
  <r>
    <n v="3"/>
    <x v="48"/>
    <d v="2026-04-11T00:00:00"/>
    <x v="1"/>
    <s v="Wilderness"/>
    <m/>
    <m/>
    <m/>
    <m/>
    <s v="NA"/>
    <n v="0"/>
    <n v="30"/>
    <x v="1"/>
  </r>
  <r>
    <n v="4"/>
    <x v="48"/>
    <d v="2026-04-11T00:00:00"/>
    <x v="1"/>
    <s v="Cape Town"/>
    <m/>
    <m/>
    <m/>
    <m/>
    <s v="NA"/>
    <n v="0"/>
    <n v="30"/>
    <x v="1"/>
  </r>
  <r>
    <n v="5"/>
    <x v="48"/>
    <d v="2026-04-11T00:00:00"/>
    <x v="2"/>
    <s v="Wilderness"/>
    <m/>
    <m/>
    <m/>
    <m/>
    <s v="NA"/>
    <n v="0"/>
    <n v="30"/>
    <x v="1"/>
  </r>
  <r>
    <n v="6"/>
    <x v="48"/>
    <d v="2026-04-11T00:00:00"/>
    <x v="2"/>
    <s v="Cape Town"/>
    <m/>
    <m/>
    <m/>
    <m/>
    <s v="NA"/>
    <n v="0"/>
    <n v="30"/>
    <x v="1"/>
  </r>
  <r>
    <n v="1"/>
    <x v="49"/>
    <d v="2026-04-12T00:00:00"/>
    <x v="0"/>
    <s v="Wilderness"/>
    <m/>
    <m/>
    <m/>
    <m/>
    <s v="NA"/>
    <n v="0"/>
    <n v="30"/>
    <x v="1"/>
  </r>
  <r>
    <n v="2"/>
    <x v="49"/>
    <d v="2026-04-12T00:00:00"/>
    <x v="0"/>
    <s v="Cape Town"/>
    <m/>
    <m/>
    <m/>
    <m/>
    <s v="NA"/>
    <n v="0"/>
    <n v="30"/>
    <x v="1"/>
  </r>
  <r>
    <n v="3"/>
    <x v="49"/>
    <d v="2026-04-12T00:00:00"/>
    <x v="1"/>
    <s v="Wilderness"/>
    <m/>
    <m/>
    <m/>
    <m/>
    <s v="NA"/>
    <n v="0"/>
    <n v="30"/>
    <x v="1"/>
  </r>
  <r>
    <n v="4"/>
    <x v="49"/>
    <d v="2026-04-12T00:00:00"/>
    <x v="1"/>
    <s v="Cape Town"/>
    <m/>
    <m/>
    <m/>
    <m/>
    <s v="NA"/>
    <n v="0"/>
    <n v="30"/>
    <x v="1"/>
  </r>
  <r>
    <n v="5"/>
    <x v="49"/>
    <d v="2026-04-12T00:00:00"/>
    <x v="2"/>
    <s v="Wilderness"/>
    <m/>
    <m/>
    <m/>
    <m/>
    <s v="NA"/>
    <n v="0"/>
    <n v="30"/>
    <x v="1"/>
  </r>
  <r>
    <n v="6"/>
    <x v="49"/>
    <d v="2026-04-12T00:00:00"/>
    <x v="2"/>
    <s v="Cape Town"/>
    <m/>
    <m/>
    <m/>
    <m/>
    <s v="NA"/>
    <n v="0"/>
    <n v="30"/>
    <x v="1"/>
  </r>
  <r>
    <n v="1"/>
    <x v="50"/>
    <d v="2026-04-13T00:00:00"/>
    <x v="0"/>
    <s v="Wilderness"/>
    <m/>
    <m/>
    <m/>
    <m/>
    <s v="NA"/>
    <n v="0"/>
    <n v="30"/>
    <x v="1"/>
  </r>
  <r>
    <n v="2"/>
    <x v="50"/>
    <d v="2026-04-13T00:00:00"/>
    <x v="0"/>
    <s v="Cape Town"/>
    <m/>
    <m/>
    <m/>
    <m/>
    <s v="NA"/>
    <n v="0"/>
    <n v="30"/>
    <x v="1"/>
  </r>
  <r>
    <n v="3"/>
    <x v="50"/>
    <d v="2026-04-13T00:00:00"/>
    <x v="1"/>
    <s v="Wilderness"/>
    <m/>
    <m/>
    <m/>
    <m/>
    <s v="NA"/>
    <n v="0"/>
    <n v="30"/>
    <x v="1"/>
  </r>
  <r>
    <n v="4"/>
    <x v="50"/>
    <d v="2026-04-13T00:00:00"/>
    <x v="1"/>
    <s v="Cape Town"/>
    <m/>
    <m/>
    <m/>
    <m/>
    <s v="NA"/>
    <n v="0"/>
    <n v="30"/>
    <x v="1"/>
  </r>
  <r>
    <n v="5"/>
    <x v="50"/>
    <d v="2026-04-13T00:00:00"/>
    <x v="2"/>
    <s v="Wilderness"/>
    <m/>
    <m/>
    <m/>
    <m/>
    <s v="NA"/>
    <n v="0"/>
    <n v="30"/>
    <x v="1"/>
  </r>
  <r>
    <n v="6"/>
    <x v="50"/>
    <d v="2026-04-13T00:00:00"/>
    <x v="2"/>
    <s v="Cape Town"/>
    <m/>
    <m/>
    <m/>
    <m/>
    <s v="NA"/>
    <n v="0"/>
    <n v="30"/>
    <x v="1"/>
  </r>
  <r>
    <n v="1"/>
    <x v="51"/>
    <d v="2026-04-14T00:00:00"/>
    <x v="0"/>
    <s v="Wilderness"/>
    <m/>
    <m/>
    <m/>
    <m/>
    <s v="NA"/>
    <n v="0"/>
    <n v="30"/>
    <x v="1"/>
  </r>
  <r>
    <n v="2"/>
    <x v="51"/>
    <d v="2026-04-14T00:00:00"/>
    <x v="0"/>
    <s v="Cape Town"/>
    <m/>
    <m/>
    <m/>
    <m/>
    <s v="NA"/>
    <n v="0"/>
    <n v="30"/>
    <x v="1"/>
  </r>
  <r>
    <n v="3"/>
    <x v="51"/>
    <d v="2026-04-14T00:00:00"/>
    <x v="1"/>
    <s v="Wilderness"/>
    <m/>
    <m/>
    <m/>
    <m/>
    <s v="NA"/>
    <n v="0"/>
    <n v="30"/>
    <x v="1"/>
  </r>
  <r>
    <n v="4"/>
    <x v="51"/>
    <d v="2026-04-14T00:00:00"/>
    <x v="1"/>
    <s v="Cape Town"/>
    <m/>
    <m/>
    <m/>
    <m/>
    <s v="NA"/>
    <n v="0"/>
    <n v="30"/>
    <x v="1"/>
  </r>
  <r>
    <n v="5"/>
    <x v="51"/>
    <d v="2026-04-14T00:00:00"/>
    <x v="2"/>
    <s v="Wilderness"/>
    <m/>
    <m/>
    <m/>
    <m/>
    <s v="NA"/>
    <n v="0"/>
    <n v="30"/>
    <x v="1"/>
  </r>
  <r>
    <n v="6"/>
    <x v="51"/>
    <d v="2026-04-14T00:00:00"/>
    <x v="2"/>
    <s v="Cape Town"/>
    <m/>
    <m/>
    <m/>
    <m/>
    <s v="NA"/>
    <n v="0"/>
    <n v="30"/>
    <x v="1"/>
  </r>
  <r>
    <n v="1"/>
    <x v="52"/>
    <d v="2026-04-15T00:00:00"/>
    <x v="0"/>
    <s v="Wilderness"/>
    <m/>
    <m/>
    <m/>
    <m/>
    <s v="NA"/>
    <n v="0"/>
    <n v="30"/>
    <x v="1"/>
  </r>
  <r>
    <n v="2"/>
    <x v="52"/>
    <d v="2026-04-15T00:00:00"/>
    <x v="0"/>
    <s v="Cape Town"/>
    <m/>
    <m/>
    <m/>
    <m/>
    <s v="NA"/>
    <n v="0"/>
    <n v="30"/>
    <x v="1"/>
  </r>
  <r>
    <n v="3"/>
    <x v="52"/>
    <d v="2026-04-15T00:00:00"/>
    <x v="1"/>
    <s v="Wilderness"/>
    <m/>
    <m/>
    <m/>
    <m/>
    <s v="NA"/>
    <n v="0"/>
    <n v="30"/>
    <x v="1"/>
  </r>
  <r>
    <n v="4"/>
    <x v="52"/>
    <d v="2026-04-15T00:00:00"/>
    <x v="1"/>
    <s v="Cape Town"/>
    <m/>
    <m/>
    <m/>
    <m/>
    <s v="NA"/>
    <n v="0"/>
    <n v="30"/>
    <x v="1"/>
  </r>
  <r>
    <n v="5"/>
    <x v="52"/>
    <d v="2026-04-15T00:00:00"/>
    <x v="2"/>
    <s v="Wilderness"/>
    <m/>
    <m/>
    <m/>
    <m/>
    <s v="NA"/>
    <n v="0"/>
    <n v="30"/>
    <x v="1"/>
  </r>
  <r>
    <n v="6"/>
    <x v="52"/>
    <d v="2026-04-15T00:00:00"/>
    <x v="2"/>
    <s v="Cape Town"/>
    <m/>
    <m/>
    <m/>
    <m/>
    <s v="NA"/>
    <n v="0"/>
    <n v="30"/>
    <x v="1"/>
  </r>
  <r>
    <n v="1"/>
    <x v="53"/>
    <d v="2026-04-16T00:00:00"/>
    <x v="0"/>
    <s v="Wilderness"/>
    <m/>
    <m/>
    <m/>
    <m/>
    <s v="NA"/>
    <n v="0"/>
    <n v="30"/>
    <x v="1"/>
  </r>
  <r>
    <n v="2"/>
    <x v="53"/>
    <d v="2026-04-16T00:00:00"/>
    <x v="0"/>
    <s v="Cape Town"/>
    <m/>
    <m/>
    <m/>
    <m/>
    <s v="NA"/>
    <n v="0"/>
    <n v="30"/>
    <x v="1"/>
  </r>
  <r>
    <n v="3"/>
    <x v="53"/>
    <d v="2026-04-16T00:00:00"/>
    <x v="1"/>
    <s v="Wilderness"/>
    <m/>
    <m/>
    <m/>
    <m/>
    <s v="NA"/>
    <n v="0"/>
    <n v="30"/>
    <x v="1"/>
  </r>
  <r>
    <n v="4"/>
    <x v="53"/>
    <d v="2026-04-16T00:00:00"/>
    <x v="1"/>
    <s v="Cape Town"/>
    <m/>
    <m/>
    <m/>
    <m/>
    <s v="NA"/>
    <n v="0"/>
    <n v="30"/>
    <x v="1"/>
  </r>
  <r>
    <n v="5"/>
    <x v="53"/>
    <d v="2026-04-16T00:00:00"/>
    <x v="2"/>
    <s v="Wilderness"/>
    <m/>
    <m/>
    <m/>
    <m/>
    <s v="NA"/>
    <n v="0"/>
    <n v="30"/>
    <x v="1"/>
  </r>
  <r>
    <n v="6"/>
    <x v="53"/>
    <d v="2026-04-16T00:00:00"/>
    <x v="2"/>
    <s v="Cape Town"/>
    <m/>
    <m/>
    <m/>
    <m/>
    <s v="NA"/>
    <n v="0"/>
    <n v="30"/>
    <x v="1"/>
  </r>
  <r>
    <n v="1"/>
    <x v="54"/>
    <d v="2026-04-17T00:00:00"/>
    <x v="0"/>
    <s v="Wilderness"/>
    <m/>
    <m/>
    <m/>
    <m/>
    <s v="NA"/>
    <n v="0"/>
    <n v="30"/>
    <x v="1"/>
  </r>
  <r>
    <n v="2"/>
    <x v="54"/>
    <d v="2026-04-17T00:00:00"/>
    <x v="0"/>
    <s v="Cape Town"/>
    <m/>
    <m/>
    <m/>
    <m/>
    <s v="NA"/>
    <n v="0"/>
    <n v="30"/>
    <x v="1"/>
  </r>
  <r>
    <n v="3"/>
    <x v="54"/>
    <d v="2026-04-17T00:00:00"/>
    <x v="1"/>
    <s v="Wilderness"/>
    <m/>
    <m/>
    <m/>
    <m/>
    <s v="NA"/>
    <n v="0"/>
    <n v="30"/>
    <x v="1"/>
  </r>
  <r>
    <n v="4"/>
    <x v="54"/>
    <d v="2026-04-17T00:00:00"/>
    <x v="1"/>
    <s v="Cape Town"/>
    <m/>
    <m/>
    <m/>
    <m/>
    <s v="NA"/>
    <n v="0"/>
    <n v="30"/>
    <x v="1"/>
  </r>
  <r>
    <n v="5"/>
    <x v="54"/>
    <d v="2026-04-17T00:00:00"/>
    <x v="2"/>
    <s v="Wilderness"/>
    <m/>
    <m/>
    <m/>
    <m/>
    <s v="NA"/>
    <n v="0"/>
    <n v="30"/>
    <x v="1"/>
  </r>
  <r>
    <n v="6"/>
    <x v="54"/>
    <d v="2026-04-17T00:00:00"/>
    <x v="2"/>
    <s v="Cape Town"/>
    <m/>
    <m/>
    <m/>
    <m/>
    <s v="NA"/>
    <n v="0"/>
    <n v="30"/>
    <x v="1"/>
  </r>
  <r>
    <n v="1"/>
    <x v="55"/>
    <d v="2026-04-18T00:00:00"/>
    <x v="0"/>
    <s v="Wilderness"/>
    <m/>
    <m/>
    <m/>
    <m/>
    <s v="NA"/>
    <n v="0"/>
    <n v="30"/>
    <x v="1"/>
  </r>
  <r>
    <n v="2"/>
    <x v="55"/>
    <d v="2026-04-18T00:00:00"/>
    <x v="0"/>
    <s v="Cape Town"/>
    <m/>
    <m/>
    <m/>
    <m/>
    <s v="NA"/>
    <n v="0"/>
    <n v="30"/>
    <x v="1"/>
  </r>
  <r>
    <n v="3"/>
    <x v="55"/>
    <d v="2026-04-18T00:00:00"/>
    <x v="1"/>
    <s v="Wilderness"/>
    <m/>
    <m/>
    <m/>
    <m/>
    <s v="NA"/>
    <n v="0"/>
    <n v="30"/>
    <x v="1"/>
  </r>
  <r>
    <n v="4"/>
    <x v="55"/>
    <d v="2026-04-18T00:00:00"/>
    <x v="1"/>
    <s v="Cape Town"/>
    <m/>
    <m/>
    <m/>
    <m/>
    <s v="NA"/>
    <n v="0"/>
    <n v="30"/>
    <x v="1"/>
  </r>
  <r>
    <n v="5"/>
    <x v="55"/>
    <d v="2026-04-18T00:00:00"/>
    <x v="2"/>
    <s v="Wilderness"/>
    <m/>
    <m/>
    <m/>
    <m/>
    <s v="NA"/>
    <n v="0"/>
    <n v="30"/>
    <x v="1"/>
  </r>
  <r>
    <n v="6"/>
    <x v="55"/>
    <d v="2026-04-18T00:00:00"/>
    <x v="2"/>
    <s v="Cape Town"/>
    <m/>
    <m/>
    <m/>
    <m/>
    <s v="NA"/>
    <n v="0"/>
    <n v="30"/>
    <x v="1"/>
  </r>
  <r>
    <n v="1"/>
    <x v="56"/>
    <d v="2026-04-19T00:00:00"/>
    <x v="0"/>
    <s v="Wilderness"/>
    <m/>
    <m/>
    <m/>
    <m/>
    <s v="NA"/>
    <n v="0"/>
    <n v="30"/>
    <x v="1"/>
  </r>
  <r>
    <n v="2"/>
    <x v="56"/>
    <d v="2026-04-19T00:00:00"/>
    <x v="0"/>
    <s v="Cape Town"/>
    <m/>
    <m/>
    <m/>
    <m/>
    <s v="NA"/>
    <n v="0"/>
    <n v="30"/>
    <x v="1"/>
  </r>
  <r>
    <n v="3"/>
    <x v="56"/>
    <d v="2026-04-19T00:00:00"/>
    <x v="1"/>
    <s v="Wilderness"/>
    <m/>
    <m/>
    <m/>
    <m/>
    <s v="NA"/>
    <n v="0"/>
    <n v="30"/>
    <x v="1"/>
  </r>
  <r>
    <n v="4"/>
    <x v="56"/>
    <d v="2026-04-19T00:00:00"/>
    <x v="1"/>
    <s v="Cape Town"/>
    <m/>
    <m/>
    <m/>
    <m/>
    <s v="NA"/>
    <n v="0"/>
    <n v="30"/>
    <x v="1"/>
  </r>
  <r>
    <n v="5"/>
    <x v="56"/>
    <d v="2026-04-19T00:00:00"/>
    <x v="2"/>
    <s v="Wilderness"/>
    <m/>
    <m/>
    <m/>
    <m/>
    <s v="NA"/>
    <n v="0"/>
    <n v="30"/>
    <x v="1"/>
  </r>
  <r>
    <n v="6"/>
    <x v="56"/>
    <d v="2026-04-19T00:00:00"/>
    <x v="2"/>
    <s v="Cape Town"/>
    <m/>
    <m/>
    <m/>
    <m/>
    <s v="NA"/>
    <n v="0"/>
    <n v="30"/>
    <x v="1"/>
  </r>
  <r>
    <n v="1"/>
    <x v="57"/>
    <d v="2026-04-20T00:00:00"/>
    <x v="0"/>
    <s v="Wilderness"/>
    <m/>
    <m/>
    <m/>
    <m/>
    <s v="NA"/>
    <n v="0"/>
    <n v="30"/>
    <x v="1"/>
  </r>
  <r>
    <n v="2"/>
    <x v="57"/>
    <d v="2026-04-20T00:00:00"/>
    <x v="0"/>
    <s v="Cape Town"/>
    <m/>
    <m/>
    <m/>
    <m/>
    <s v="NA"/>
    <n v="0"/>
    <n v="30"/>
    <x v="1"/>
  </r>
  <r>
    <n v="3"/>
    <x v="57"/>
    <d v="2026-04-20T00:00:00"/>
    <x v="1"/>
    <s v="Wilderness"/>
    <m/>
    <m/>
    <m/>
    <m/>
    <s v="NA"/>
    <n v="0"/>
    <n v="30"/>
    <x v="1"/>
  </r>
  <r>
    <n v="4"/>
    <x v="57"/>
    <d v="2026-04-20T00:00:00"/>
    <x v="1"/>
    <s v="Cape Town"/>
    <m/>
    <m/>
    <m/>
    <m/>
    <s v="NA"/>
    <n v="0"/>
    <n v="30"/>
    <x v="1"/>
  </r>
  <r>
    <n v="5"/>
    <x v="57"/>
    <d v="2026-04-20T00:00:00"/>
    <x v="2"/>
    <s v="Wilderness"/>
    <m/>
    <m/>
    <m/>
    <m/>
    <s v="NA"/>
    <n v="0"/>
    <n v="30"/>
    <x v="1"/>
  </r>
  <r>
    <n v="6"/>
    <x v="57"/>
    <d v="2026-04-20T00:00:00"/>
    <x v="2"/>
    <s v="Cape Town"/>
    <m/>
    <m/>
    <m/>
    <m/>
    <s v="NA"/>
    <n v="0"/>
    <n v="30"/>
    <x v="1"/>
  </r>
  <r>
    <n v="1"/>
    <x v="58"/>
    <d v="2026-04-21T00:00:00"/>
    <x v="0"/>
    <s v="Wilderness"/>
    <m/>
    <m/>
    <m/>
    <m/>
    <s v="NA"/>
    <n v="0"/>
    <n v="30"/>
    <x v="1"/>
  </r>
  <r>
    <n v="2"/>
    <x v="58"/>
    <d v="2026-04-21T00:00:00"/>
    <x v="0"/>
    <s v="Cape Town"/>
    <m/>
    <m/>
    <m/>
    <m/>
    <s v="NA"/>
    <n v="0"/>
    <n v="30"/>
    <x v="1"/>
  </r>
  <r>
    <n v="3"/>
    <x v="58"/>
    <d v="2026-04-21T00:00:00"/>
    <x v="1"/>
    <s v="Wilderness"/>
    <m/>
    <m/>
    <m/>
    <m/>
    <s v="NA"/>
    <n v="0"/>
    <n v="30"/>
    <x v="1"/>
  </r>
  <r>
    <n v="4"/>
    <x v="58"/>
    <d v="2026-04-21T00:00:00"/>
    <x v="1"/>
    <s v="Cape Town"/>
    <m/>
    <m/>
    <m/>
    <m/>
    <s v="NA"/>
    <n v="0"/>
    <n v="30"/>
    <x v="1"/>
  </r>
  <r>
    <n v="5"/>
    <x v="58"/>
    <d v="2026-04-21T00:00:00"/>
    <x v="2"/>
    <s v="Wilderness"/>
    <m/>
    <m/>
    <m/>
    <m/>
    <s v="NA"/>
    <n v="0"/>
    <n v="30"/>
    <x v="1"/>
  </r>
  <r>
    <n v="6"/>
    <x v="58"/>
    <d v="2026-04-21T00:00:00"/>
    <x v="2"/>
    <s v="Cape Town"/>
    <m/>
    <m/>
    <m/>
    <m/>
    <s v="NA"/>
    <n v="0"/>
    <n v="30"/>
    <x v="1"/>
  </r>
  <r>
    <n v="1"/>
    <x v="59"/>
    <d v="2026-04-22T00:00:00"/>
    <x v="0"/>
    <s v="Wilderness"/>
    <m/>
    <m/>
    <m/>
    <m/>
    <s v="NA"/>
    <n v="0"/>
    <n v="30"/>
    <x v="1"/>
  </r>
  <r>
    <n v="2"/>
    <x v="59"/>
    <d v="2026-04-22T00:00:00"/>
    <x v="0"/>
    <s v="Cape Town"/>
    <m/>
    <m/>
    <m/>
    <m/>
    <s v="NA"/>
    <n v="0"/>
    <n v="30"/>
    <x v="1"/>
  </r>
  <r>
    <n v="3"/>
    <x v="59"/>
    <d v="2026-04-22T00:00:00"/>
    <x v="1"/>
    <s v="Wilderness"/>
    <m/>
    <m/>
    <m/>
    <m/>
    <s v="NA"/>
    <n v="0"/>
    <n v="30"/>
    <x v="1"/>
  </r>
  <r>
    <n v="4"/>
    <x v="59"/>
    <d v="2026-04-22T00:00:00"/>
    <x v="1"/>
    <s v="Cape Town"/>
    <m/>
    <m/>
    <m/>
    <m/>
    <s v="NA"/>
    <n v="0"/>
    <n v="30"/>
    <x v="1"/>
  </r>
  <r>
    <n v="5"/>
    <x v="59"/>
    <d v="2026-04-22T00:00:00"/>
    <x v="2"/>
    <s v="Wilderness"/>
    <m/>
    <m/>
    <m/>
    <m/>
    <s v="NA"/>
    <n v="0"/>
    <n v="30"/>
    <x v="1"/>
  </r>
  <r>
    <n v="6"/>
    <x v="59"/>
    <d v="2026-04-22T00:00:00"/>
    <x v="2"/>
    <s v="Cape Town"/>
    <m/>
    <m/>
    <m/>
    <m/>
    <s v="NA"/>
    <n v="0"/>
    <n v="30"/>
    <x v="1"/>
  </r>
  <r>
    <n v="1"/>
    <x v="60"/>
    <d v="2026-04-23T00:00:00"/>
    <x v="0"/>
    <s v="Wilderness"/>
    <m/>
    <m/>
    <m/>
    <m/>
    <s v="NA"/>
    <n v="0"/>
    <n v="30"/>
    <x v="1"/>
  </r>
  <r>
    <n v="2"/>
    <x v="60"/>
    <d v="2026-04-23T00:00:00"/>
    <x v="0"/>
    <s v="Cape Town"/>
    <m/>
    <m/>
    <m/>
    <m/>
    <s v="NA"/>
    <n v="0"/>
    <n v="30"/>
    <x v="1"/>
  </r>
  <r>
    <n v="3"/>
    <x v="60"/>
    <d v="2026-04-23T00:00:00"/>
    <x v="1"/>
    <s v="Wilderness"/>
    <m/>
    <m/>
    <m/>
    <m/>
    <s v="NA"/>
    <n v="0"/>
    <n v="30"/>
    <x v="1"/>
  </r>
  <r>
    <n v="4"/>
    <x v="60"/>
    <d v="2026-04-23T00:00:00"/>
    <x v="1"/>
    <s v="Cape Town"/>
    <m/>
    <m/>
    <m/>
    <m/>
    <s v="NA"/>
    <n v="0"/>
    <n v="30"/>
    <x v="1"/>
  </r>
  <r>
    <n v="5"/>
    <x v="60"/>
    <d v="2026-04-23T00:00:00"/>
    <x v="2"/>
    <s v="Wilderness"/>
    <m/>
    <m/>
    <m/>
    <m/>
    <s v="NA"/>
    <n v="0"/>
    <n v="30"/>
    <x v="1"/>
  </r>
  <r>
    <n v="6"/>
    <x v="60"/>
    <d v="2026-04-23T00:00:00"/>
    <x v="2"/>
    <s v="Cape Town"/>
    <m/>
    <m/>
    <m/>
    <m/>
    <s v="NA"/>
    <n v="0"/>
    <n v="30"/>
    <x v="1"/>
  </r>
  <r>
    <n v="1"/>
    <x v="61"/>
    <d v="2026-04-24T00:00:00"/>
    <x v="0"/>
    <s v="Wilderness"/>
    <m/>
    <m/>
    <m/>
    <m/>
    <s v="NA"/>
    <n v="0"/>
    <n v="30"/>
    <x v="1"/>
  </r>
  <r>
    <n v="2"/>
    <x v="61"/>
    <d v="2026-04-24T00:00:00"/>
    <x v="0"/>
    <s v="Cape Town"/>
    <m/>
    <m/>
    <m/>
    <m/>
    <s v="NA"/>
    <n v="0"/>
    <n v="30"/>
    <x v="1"/>
  </r>
  <r>
    <n v="3"/>
    <x v="61"/>
    <d v="2026-04-24T00:00:00"/>
    <x v="1"/>
    <s v="Wilderness"/>
    <m/>
    <m/>
    <m/>
    <m/>
    <s v="NA"/>
    <n v="0"/>
    <n v="30"/>
    <x v="1"/>
  </r>
  <r>
    <n v="4"/>
    <x v="61"/>
    <d v="2026-04-24T00:00:00"/>
    <x v="1"/>
    <s v="Cape Town"/>
    <m/>
    <m/>
    <m/>
    <m/>
    <s v="NA"/>
    <n v="0"/>
    <n v="30"/>
    <x v="1"/>
  </r>
  <r>
    <n v="5"/>
    <x v="61"/>
    <d v="2026-04-24T00:00:00"/>
    <x v="2"/>
    <s v="Wilderness"/>
    <m/>
    <m/>
    <m/>
    <m/>
    <s v="NA"/>
    <n v="0"/>
    <n v="30"/>
    <x v="1"/>
  </r>
  <r>
    <n v="6"/>
    <x v="61"/>
    <d v="2026-04-24T00:00:00"/>
    <x v="2"/>
    <s v="Cape Town"/>
    <m/>
    <m/>
    <m/>
    <m/>
    <s v="NA"/>
    <n v="0"/>
    <n v="30"/>
    <x v="1"/>
  </r>
  <r>
    <n v="1"/>
    <x v="62"/>
    <d v="2026-04-25T00:00:00"/>
    <x v="0"/>
    <s v="Wilderness"/>
    <m/>
    <m/>
    <m/>
    <m/>
    <s v="NA"/>
    <n v="0"/>
    <n v="30"/>
    <x v="1"/>
  </r>
  <r>
    <n v="2"/>
    <x v="62"/>
    <d v="2026-04-25T00:00:00"/>
    <x v="0"/>
    <s v="Cape Town"/>
    <m/>
    <m/>
    <m/>
    <m/>
    <s v="NA"/>
    <n v="0"/>
    <n v="30"/>
    <x v="1"/>
  </r>
  <r>
    <n v="3"/>
    <x v="62"/>
    <d v="2026-04-25T00:00:00"/>
    <x v="1"/>
    <s v="Wilderness"/>
    <m/>
    <m/>
    <m/>
    <m/>
    <s v="NA"/>
    <n v="0"/>
    <n v="30"/>
    <x v="1"/>
  </r>
  <r>
    <n v="4"/>
    <x v="62"/>
    <d v="2026-04-25T00:00:00"/>
    <x v="1"/>
    <s v="Cape Town"/>
    <m/>
    <m/>
    <m/>
    <m/>
    <s v="NA"/>
    <n v="0"/>
    <n v="30"/>
    <x v="1"/>
  </r>
  <r>
    <n v="5"/>
    <x v="62"/>
    <d v="2026-04-25T00:00:00"/>
    <x v="2"/>
    <s v="Wilderness"/>
    <m/>
    <m/>
    <m/>
    <m/>
    <s v="NA"/>
    <n v="0"/>
    <n v="30"/>
    <x v="1"/>
  </r>
  <r>
    <n v="6"/>
    <x v="62"/>
    <d v="2026-04-25T00:00:00"/>
    <x v="2"/>
    <s v="Cape Town"/>
    <m/>
    <m/>
    <m/>
    <m/>
    <s v="NA"/>
    <n v="0"/>
    <n v="30"/>
    <x v="1"/>
  </r>
  <r>
    <n v="1"/>
    <x v="63"/>
    <d v="2026-04-26T00:00:00"/>
    <x v="0"/>
    <s v="Wilderness"/>
    <m/>
    <m/>
    <m/>
    <m/>
    <s v="NA"/>
    <n v="0"/>
    <n v="30"/>
    <x v="1"/>
  </r>
  <r>
    <n v="2"/>
    <x v="63"/>
    <d v="2026-04-26T00:00:00"/>
    <x v="0"/>
    <s v="Cape Town"/>
    <m/>
    <m/>
    <m/>
    <m/>
    <s v="NA"/>
    <n v="0"/>
    <n v="30"/>
    <x v="1"/>
  </r>
  <r>
    <n v="3"/>
    <x v="63"/>
    <d v="2026-04-26T00:00:00"/>
    <x v="1"/>
    <s v="Wilderness"/>
    <m/>
    <m/>
    <m/>
    <m/>
    <s v="NA"/>
    <n v="0"/>
    <n v="30"/>
    <x v="1"/>
  </r>
  <r>
    <n v="4"/>
    <x v="63"/>
    <d v="2026-04-26T00:00:00"/>
    <x v="1"/>
    <s v="Cape Town"/>
    <m/>
    <m/>
    <m/>
    <m/>
    <s v="NA"/>
    <n v="0"/>
    <n v="30"/>
    <x v="1"/>
  </r>
  <r>
    <n v="5"/>
    <x v="63"/>
    <d v="2026-04-26T00:00:00"/>
    <x v="2"/>
    <s v="Wilderness"/>
    <m/>
    <m/>
    <m/>
    <m/>
    <s v="NA"/>
    <n v="0"/>
    <n v="30"/>
    <x v="1"/>
  </r>
  <r>
    <n v="6"/>
    <x v="63"/>
    <d v="2026-04-26T00:00:00"/>
    <x v="2"/>
    <s v="Cape Town"/>
    <m/>
    <m/>
    <m/>
    <m/>
    <s v="NA"/>
    <n v="0"/>
    <n v="30"/>
    <x v="1"/>
  </r>
  <r>
    <n v="1"/>
    <x v="64"/>
    <d v="2026-04-27T00:00:00"/>
    <x v="0"/>
    <s v="Wilderness"/>
    <m/>
    <m/>
    <m/>
    <m/>
    <s v="NA"/>
    <n v="0"/>
    <n v="30"/>
    <x v="1"/>
  </r>
  <r>
    <n v="2"/>
    <x v="64"/>
    <d v="2026-04-27T00:00:00"/>
    <x v="0"/>
    <s v="Cape Town"/>
    <m/>
    <m/>
    <m/>
    <m/>
    <s v="NA"/>
    <n v="0"/>
    <n v="30"/>
    <x v="1"/>
  </r>
  <r>
    <n v="3"/>
    <x v="64"/>
    <d v="2026-04-27T00:00:00"/>
    <x v="1"/>
    <s v="Wilderness"/>
    <m/>
    <m/>
    <m/>
    <m/>
    <s v="NA"/>
    <n v="0"/>
    <n v="30"/>
    <x v="1"/>
  </r>
  <r>
    <n v="4"/>
    <x v="64"/>
    <d v="2026-04-27T00:00:00"/>
    <x v="1"/>
    <s v="Cape Town"/>
    <m/>
    <m/>
    <m/>
    <m/>
    <s v="NA"/>
    <n v="0"/>
    <n v="30"/>
    <x v="1"/>
  </r>
  <r>
    <n v="5"/>
    <x v="64"/>
    <d v="2026-04-27T00:00:00"/>
    <x v="2"/>
    <s v="Wilderness"/>
    <m/>
    <m/>
    <m/>
    <m/>
    <s v="NA"/>
    <n v="0"/>
    <n v="30"/>
    <x v="1"/>
  </r>
  <r>
    <n v="6"/>
    <x v="64"/>
    <d v="2026-04-27T00:00:00"/>
    <x v="2"/>
    <s v="Cape Town"/>
    <m/>
    <m/>
    <m/>
    <m/>
    <s v="NA"/>
    <n v="0"/>
    <n v="30"/>
    <x v="1"/>
  </r>
  <r>
    <n v="1"/>
    <x v="65"/>
    <d v="2026-04-28T00:00:00"/>
    <x v="0"/>
    <s v="Wilderness"/>
    <m/>
    <m/>
    <m/>
    <m/>
    <s v="NA"/>
    <n v="0"/>
    <n v="30"/>
    <x v="1"/>
  </r>
  <r>
    <n v="2"/>
    <x v="65"/>
    <d v="2026-04-28T00:00:00"/>
    <x v="0"/>
    <s v="Cape Town"/>
    <m/>
    <m/>
    <m/>
    <m/>
    <s v="NA"/>
    <n v="0"/>
    <n v="30"/>
    <x v="1"/>
  </r>
  <r>
    <n v="3"/>
    <x v="65"/>
    <d v="2026-04-28T00:00:00"/>
    <x v="1"/>
    <s v="Wilderness"/>
    <m/>
    <m/>
    <m/>
    <m/>
    <s v="NA"/>
    <n v="0"/>
    <n v="30"/>
    <x v="1"/>
  </r>
  <r>
    <n v="4"/>
    <x v="65"/>
    <d v="2026-04-28T00:00:00"/>
    <x v="1"/>
    <s v="Cape Town"/>
    <m/>
    <m/>
    <m/>
    <m/>
    <s v="NA"/>
    <n v="0"/>
    <n v="30"/>
    <x v="1"/>
  </r>
  <r>
    <n v="5"/>
    <x v="65"/>
    <d v="2026-04-28T00:00:00"/>
    <x v="2"/>
    <s v="Wilderness"/>
    <m/>
    <m/>
    <m/>
    <m/>
    <s v="NA"/>
    <n v="0"/>
    <n v="30"/>
    <x v="1"/>
  </r>
  <r>
    <n v="6"/>
    <x v="65"/>
    <d v="2026-04-28T00:00:00"/>
    <x v="2"/>
    <s v="Cape Town"/>
    <m/>
    <m/>
    <m/>
    <m/>
    <s v="NA"/>
    <n v="0"/>
    <n v="30"/>
    <x v="1"/>
  </r>
  <r>
    <n v="1"/>
    <x v="66"/>
    <d v="2026-04-29T00:00:00"/>
    <x v="0"/>
    <s v="Wilderness"/>
    <m/>
    <m/>
    <m/>
    <m/>
    <s v="NA"/>
    <n v="0"/>
    <n v="30"/>
    <x v="1"/>
  </r>
  <r>
    <n v="2"/>
    <x v="66"/>
    <d v="2026-04-29T00:00:00"/>
    <x v="0"/>
    <s v="Cape Town"/>
    <m/>
    <m/>
    <m/>
    <m/>
    <s v="NA"/>
    <n v="0"/>
    <n v="30"/>
    <x v="1"/>
  </r>
  <r>
    <n v="3"/>
    <x v="66"/>
    <d v="2026-04-29T00:00:00"/>
    <x v="1"/>
    <s v="Wilderness"/>
    <m/>
    <m/>
    <m/>
    <m/>
    <s v="NA"/>
    <n v="0"/>
    <n v="30"/>
    <x v="1"/>
  </r>
  <r>
    <n v="4"/>
    <x v="66"/>
    <d v="2026-04-29T00:00:00"/>
    <x v="1"/>
    <s v="Cape Town"/>
    <m/>
    <m/>
    <m/>
    <m/>
    <s v="NA"/>
    <n v="0"/>
    <n v="30"/>
    <x v="1"/>
  </r>
  <r>
    <n v="5"/>
    <x v="66"/>
    <d v="2026-04-29T00:00:00"/>
    <x v="2"/>
    <s v="Wilderness"/>
    <m/>
    <m/>
    <m/>
    <m/>
    <s v="NA"/>
    <n v="0"/>
    <n v="30"/>
    <x v="1"/>
  </r>
  <r>
    <n v="6"/>
    <x v="66"/>
    <d v="2026-04-29T00:00:00"/>
    <x v="2"/>
    <s v="Cape Town"/>
    <m/>
    <m/>
    <m/>
    <m/>
    <s v="NA"/>
    <n v="0"/>
    <n v="30"/>
    <x v="1"/>
  </r>
  <r>
    <n v="1"/>
    <x v="67"/>
    <d v="2026-04-30T00:00:00"/>
    <x v="0"/>
    <s v="Wilderness"/>
    <m/>
    <m/>
    <m/>
    <m/>
    <s v="NA"/>
    <n v="0"/>
    <n v="30"/>
    <x v="1"/>
  </r>
  <r>
    <n v="2"/>
    <x v="67"/>
    <d v="2026-04-30T00:00:00"/>
    <x v="0"/>
    <s v="Cape Town"/>
    <m/>
    <m/>
    <m/>
    <m/>
    <s v="NA"/>
    <n v="0"/>
    <n v="30"/>
    <x v="1"/>
  </r>
  <r>
    <n v="3"/>
    <x v="67"/>
    <d v="2026-04-30T00:00:00"/>
    <x v="1"/>
    <s v="Wilderness"/>
    <m/>
    <m/>
    <m/>
    <m/>
    <s v="NA"/>
    <n v="0"/>
    <n v="30"/>
    <x v="1"/>
  </r>
  <r>
    <n v="4"/>
    <x v="67"/>
    <d v="2026-04-30T00:00:00"/>
    <x v="1"/>
    <s v="Cape Town"/>
    <m/>
    <m/>
    <m/>
    <m/>
    <s v="NA"/>
    <n v="0"/>
    <n v="30"/>
    <x v="1"/>
  </r>
  <r>
    <n v="5"/>
    <x v="67"/>
    <d v="2026-04-30T00:00:00"/>
    <x v="2"/>
    <s v="Wilderness"/>
    <m/>
    <m/>
    <m/>
    <m/>
    <s v="NA"/>
    <n v="0"/>
    <n v="30"/>
    <x v="1"/>
  </r>
  <r>
    <n v="6"/>
    <x v="67"/>
    <d v="2026-04-30T00:00:00"/>
    <x v="2"/>
    <s v="Cape Town"/>
    <m/>
    <m/>
    <m/>
    <m/>
    <s v="NA"/>
    <n v="0"/>
    <n v="30"/>
    <x v="1"/>
  </r>
  <r>
    <n v="1"/>
    <x v="68"/>
    <d v="2026-05-01T00:00:00"/>
    <x v="0"/>
    <s v="Wilderness"/>
    <m/>
    <m/>
    <m/>
    <m/>
    <s v="NA"/>
    <n v="0"/>
    <n v="30"/>
    <x v="1"/>
  </r>
  <r>
    <n v="2"/>
    <x v="68"/>
    <d v="2026-05-01T00:00:00"/>
    <x v="0"/>
    <s v="Cape Town"/>
    <m/>
    <m/>
    <m/>
    <m/>
    <s v="NA"/>
    <n v="0"/>
    <n v="30"/>
    <x v="1"/>
  </r>
  <r>
    <n v="3"/>
    <x v="68"/>
    <d v="2026-05-01T00:00:00"/>
    <x v="1"/>
    <s v="Wilderness"/>
    <m/>
    <m/>
    <m/>
    <m/>
    <s v="NA"/>
    <n v="0"/>
    <n v="30"/>
    <x v="1"/>
  </r>
  <r>
    <n v="4"/>
    <x v="68"/>
    <d v="2026-05-01T00:00:00"/>
    <x v="1"/>
    <s v="Cape Town"/>
    <m/>
    <m/>
    <m/>
    <m/>
    <s v="NA"/>
    <n v="0"/>
    <n v="30"/>
    <x v="1"/>
  </r>
  <r>
    <n v="5"/>
    <x v="68"/>
    <d v="2026-05-01T00:00:00"/>
    <x v="2"/>
    <s v="Wilderness"/>
    <m/>
    <m/>
    <m/>
    <m/>
    <s v="NA"/>
    <n v="0"/>
    <n v="30"/>
    <x v="1"/>
  </r>
  <r>
    <n v="6"/>
    <x v="68"/>
    <d v="2026-05-01T00:00:00"/>
    <x v="2"/>
    <s v="Cape Town"/>
    <m/>
    <m/>
    <m/>
    <m/>
    <s v="NA"/>
    <n v="0"/>
    <n v="30"/>
    <x v="1"/>
  </r>
  <r>
    <n v="1"/>
    <x v="69"/>
    <d v="2026-05-02T00:00:00"/>
    <x v="0"/>
    <s v="Wilderness"/>
    <m/>
    <m/>
    <m/>
    <m/>
    <s v="NA"/>
    <n v="0"/>
    <n v="30"/>
    <x v="1"/>
  </r>
  <r>
    <n v="2"/>
    <x v="69"/>
    <d v="2026-05-02T00:00:00"/>
    <x v="0"/>
    <s v="Cape Town"/>
    <m/>
    <m/>
    <m/>
    <m/>
    <s v="NA"/>
    <n v="0"/>
    <n v="30"/>
    <x v="1"/>
  </r>
  <r>
    <n v="3"/>
    <x v="69"/>
    <d v="2026-05-02T00:00:00"/>
    <x v="1"/>
    <s v="Wilderness"/>
    <m/>
    <m/>
    <m/>
    <m/>
    <s v="NA"/>
    <n v="0"/>
    <n v="30"/>
    <x v="1"/>
  </r>
  <r>
    <n v="4"/>
    <x v="69"/>
    <d v="2026-05-02T00:00:00"/>
    <x v="1"/>
    <s v="Cape Town"/>
    <m/>
    <m/>
    <m/>
    <m/>
    <s v="NA"/>
    <n v="0"/>
    <n v="30"/>
    <x v="1"/>
  </r>
  <r>
    <n v="5"/>
    <x v="69"/>
    <d v="2026-05-02T00:00:00"/>
    <x v="2"/>
    <s v="Wilderness"/>
    <m/>
    <m/>
    <m/>
    <m/>
    <s v="NA"/>
    <n v="0"/>
    <n v="30"/>
    <x v="1"/>
  </r>
  <r>
    <n v="6"/>
    <x v="69"/>
    <d v="2026-05-02T00:00:00"/>
    <x v="2"/>
    <s v="Cape Town"/>
    <m/>
    <m/>
    <m/>
    <m/>
    <s v="NA"/>
    <n v="0"/>
    <n v="30"/>
    <x v="1"/>
  </r>
  <r>
    <n v="1"/>
    <x v="70"/>
    <d v="2026-05-03T00:00:00"/>
    <x v="0"/>
    <s v="Wilderness"/>
    <m/>
    <m/>
    <m/>
    <m/>
    <s v="NA"/>
    <n v="0"/>
    <n v="30"/>
    <x v="1"/>
  </r>
  <r>
    <n v="2"/>
    <x v="70"/>
    <d v="2026-05-03T00:00:00"/>
    <x v="0"/>
    <s v="Cape Town"/>
    <m/>
    <m/>
    <m/>
    <m/>
    <s v="NA"/>
    <n v="0"/>
    <n v="30"/>
    <x v="1"/>
  </r>
  <r>
    <n v="3"/>
    <x v="70"/>
    <d v="2026-05-03T00:00:00"/>
    <x v="1"/>
    <s v="Wilderness"/>
    <m/>
    <m/>
    <m/>
    <m/>
    <s v="NA"/>
    <n v="0"/>
    <n v="30"/>
    <x v="1"/>
  </r>
  <r>
    <n v="4"/>
    <x v="70"/>
    <d v="2026-05-03T00:00:00"/>
    <x v="1"/>
    <s v="Cape Town"/>
    <m/>
    <m/>
    <m/>
    <m/>
    <s v="NA"/>
    <n v="0"/>
    <n v="30"/>
    <x v="1"/>
  </r>
  <r>
    <n v="5"/>
    <x v="70"/>
    <d v="2026-05-03T00:00:00"/>
    <x v="2"/>
    <s v="Wilderness"/>
    <m/>
    <m/>
    <m/>
    <m/>
    <s v="NA"/>
    <n v="0"/>
    <n v="30"/>
    <x v="1"/>
  </r>
  <r>
    <n v="6"/>
    <x v="70"/>
    <d v="2026-05-03T00:00:00"/>
    <x v="2"/>
    <s v="Cape Town"/>
    <m/>
    <m/>
    <m/>
    <m/>
    <s v="NA"/>
    <n v="0"/>
    <n v="30"/>
    <x v="1"/>
  </r>
  <r>
    <n v="1"/>
    <x v="71"/>
    <d v="2026-05-04T00:00:00"/>
    <x v="0"/>
    <s v="Wilderness"/>
    <m/>
    <m/>
    <m/>
    <m/>
    <s v="NA"/>
    <n v="0"/>
    <n v="30"/>
    <x v="1"/>
  </r>
  <r>
    <n v="2"/>
    <x v="71"/>
    <d v="2026-05-04T00:00:00"/>
    <x v="0"/>
    <s v="Cape Town"/>
    <m/>
    <m/>
    <m/>
    <m/>
    <s v="NA"/>
    <n v="0"/>
    <n v="30"/>
    <x v="1"/>
  </r>
  <r>
    <n v="3"/>
    <x v="71"/>
    <d v="2026-05-04T00:00:00"/>
    <x v="1"/>
    <s v="Wilderness"/>
    <m/>
    <m/>
    <m/>
    <m/>
    <s v="NA"/>
    <n v="0"/>
    <n v="30"/>
    <x v="1"/>
  </r>
  <r>
    <n v="4"/>
    <x v="71"/>
    <d v="2026-05-04T00:00:00"/>
    <x v="1"/>
    <s v="Cape Town"/>
    <m/>
    <m/>
    <m/>
    <m/>
    <s v="NA"/>
    <n v="0"/>
    <n v="30"/>
    <x v="1"/>
  </r>
  <r>
    <n v="5"/>
    <x v="71"/>
    <d v="2026-05-04T00:00:00"/>
    <x v="2"/>
    <s v="Wilderness"/>
    <m/>
    <m/>
    <m/>
    <m/>
    <s v="NA"/>
    <n v="0"/>
    <n v="30"/>
    <x v="1"/>
  </r>
  <r>
    <n v="6"/>
    <x v="71"/>
    <d v="2026-05-04T00:00:00"/>
    <x v="2"/>
    <s v="Cape Town"/>
    <m/>
    <m/>
    <m/>
    <m/>
    <s v="NA"/>
    <n v="0"/>
    <n v="30"/>
    <x v="1"/>
  </r>
  <r>
    <n v="1"/>
    <x v="72"/>
    <d v="2026-05-05T00:00:00"/>
    <x v="0"/>
    <s v="Wilderness"/>
    <m/>
    <m/>
    <m/>
    <m/>
    <s v="NA"/>
    <n v="0"/>
    <n v="30"/>
    <x v="1"/>
  </r>
  <r>
    <n v="2"/>
    <x v="72"/>
    <d v="2026-05-05T00:00:00"/>
    <x v="0"/>
    <s v="Cape Town"/>
    <m/>
    <m/>
    <m/>
    <m/>
    <s v="NA"/>
    <n v="0"/>
    <n v="30"/>
    <x v="1"/>
  </r>
  <r>
    <n v="3"/>
    <x v="72"/>
    <d v="2026-05-05T00:00:00"/>
    <x v="1"/>
    <s v="Wilderness"/>
    <m/>
    <m/>
    <m/>
    <m/>
    <s v="NA"/>
    <n v="0"/>
    <n v="30"/>
    <x v="1"/>
  </r>
  <r>
    <n v="4"/>
    <x v="72"/>
    <d v="2026-05-05T00:00:00"/>
    <x v="1"/>
    <s v="Cape Town"/>
    <m/>
    <m/>
    <m/>
    <m/>
    <s v="NA"/>
    <n v="0"/>
    <n v="30"/>
    <x v="1"/>
  </r>
  <r>
    <n v="5"/>
    <x v="72"/>
    <d v="2026-05-05T00:00:00"/>
    <x v="2"/>
    <s v="Wilderness"/>
    <m/>
    <m/>
    <m/>
    <m/>
    <s v="NA"/>
    <n v="0"/>
    <n v="30"/>
    <x v="1"/>
  </r>
  <r>
    <n v="6"/>
    <x v="72"/>
    <d v="2026-05-05T00:00:00"/>
    <x v="2"/>
    <s v="Cape Town"/>
    <m/>
    <m/>
    <m/>
    <m/>
    <s v="NA"/>
    <n v="0"/>
    <n v="30"/>
    <x v="1"/>
  </r>
  <r>
    <n v="1"/>
    <x v="73"/>
    <d v="2026-05-06T00:00:00"/>
    <x v="0"/>
    <s v="Wilderness"/>
    <m/>
    <m/>
    <m/>
    <m/>
    <s v="NA"/>
    <n v="0"/>
    <n v="30"/>
    <x v="1"/>
  </r>
  <r>
    <n v="2"/>
    <x v="73"/>
    <d v="2026-05-06T00:00:00"/>
    <x v="0"/>
    <s v="Cape Town"/>
    <m/>
    <m/>
    <m/>
    <m/>
    <s v="NA"/>
    <n v="0"/>
    <n v="30"/>
    <x v="1"/>
  </r>
  <r>
    <n v="3"/>
    <x v="73"/>
    <d v="2026-05-06T00:00:00"/>
    <x v="1"/>
    <s v="Wilderness"/>
    <m/>
    <m/>
    <m/>
    <m/>
    <s v="NA"/>
    <n v="0"/>
    <n v="30"/>
    <x v="1"/>
  </r>
  <r>
    <n v="4"/>
    <x v="73"/>
    <d v="2026-05-06T00:00:00"/>
    <x v="1"/>
    <s v="Cape Town"/>
    <m/>
    <m/>
    <m/>
    <m/>
    <s v="NA"/>
    <n v="0"/>
    <n v="30"/>
    <x v="1"/>
  </r>
  <r>
    <n v="5"/>
    <x v="73"/>
    <d v="2026-05-06T00:00:00"/>
    <x v="2"/>
    <s v="Wilderness"/>
    <m/>
    <m/>
    <m/>
    <m/>
    <s v="NA"/>
    <n v="0"/>
    <n v="30"/>
    <x v="1"/>
  </r>
  <r>
    <n v="6"/>
    <x v="73"/>
    <d v="2026-05-06T00:00:00"/>
    <x v="2"/>
    <s v="Cape Town"/>
    <m/>
    <m/>
    <m/>
    <m/>
    <s v="NA"/>
    <n v="0"/>
    <n v="30"/>
    <x v="1"/>
  </r>
  <r>
    <n v="1"/>
    <x v="74"/>
    <d v="2026-05-07T00:00:00"/>
    <x v="0"/>
    <s v="Wilderness"/>
    <m/>
    <m/>
    <m/>
    <m/>
    <s v="NA"/>
    <n v="0"/>
    <n v="30"/>
    <x v="1"/>
  </r>
  <r>
    <n v="2"/>
    <x v="74"/>
    <d v="2026-05-07T00:00:00"/>
    <x v="0"/>
    <s v="Cape Town"/>
    <m/>
    <m/>
    <m/>
    <m/>
    <s v="NA"/>
    <n v="0"/>
    <n v="30"/>
    <x v="1"/>
  </r>
  <r>
    <n v="3"/>
    <x v="74"/>
    <d v="2026-05-07T00:00:00"/>
    <x v="1"/>
    <s v="Wilderness"/>
    <m/>
    <m/>
    <m/>
    <m/>
    <s v="NA"/>
    <n v="0"/>
    <n v="30"/>
    <x v="1"/>
  </r>
  <r>
    <n v="4"/>
    <x v="74"/>
    <d v="2026-05-07T00:00:00"/>
    <x v="1"/>
    <s v="Cape Town"/>
    <m/>
    <m/>
    <m/>
    <m/>
    <s v="NA"/>
    <n v="0"/>
    <n v="30"/>
    <x v="1"/>
  </r>
  <r>
    <n v="5"/>
    <x v="74"/>
    <d v="2026-05-07T00:00:00"/>
    <x v="2"/>
    <s v="Wilderness"/>
    <m/>
    <m/>
    <m/>
    <m/>
    <s v="NA"/>
    <n v="0"/>
    <n v="30"/>
    <x v="1"/>
  </r>
  <r>
    <n v="6"/>
    <x v="74"/>
    <d v="2026-05-07T00:00:00"/>
    <x v="2"/>
    <s v="Cape Town"/>
    <m/>
    <m/>
    <m/>
    <m/>
    <s v="NA"/>
    <n v="0"/>
    <n v="30"/>
    <x v="1"/>
  </r>
  <r>
    <n v="1"/>
    <x v="75"/>
    <d v="2026-05-08T00:00:00"/>
    <x v="0"/>
    <s v="Wilderness"/>
    <m/>
    <m/>
    <m/>
    <m/>
    <s v="NA"/>
    <n v="0"/>
    <n v="30"/>
    <x v="1"/>
  </r>
  <r>
    <n v="2"/>
    <x v="75"/>
    <d v="2026-05-08T00:00:00"/>
    <x v="0"/>
    <s v="Cape Town"/>
    <m/>
    <m/>
    <m/>
    <m/>
    <s v="NA"/>
    <n v="0"/>
    <n v="30"/>
    <x v="1"/>
  </r>
  <r>
    <n v="3"/>
    <x v="75"/>
    <d v="2026-05-08T00:00:00"/>
    <x v="1"/>
    <s v="Wilderness"/>
    <m/>
    <m/>
    <m/>
    <m/>
    <s v="NA"/>
    <n v="0"/>
    <n v="30"/>
    <x v="1"/>
  </r>
  <r>
    <n v="4"/>
    <x v="75"/>
    <d v="2026-05-08T00:00:00"/>
    <x v="1"/>
    <s v="Cape Town"/>
    <m/>
    <m/>
    <m/>
    <m/>
    <s v="NA"/>
    <n v="0"/>
    <n v="30"/>
    <x v="1"/>
  </r>
  <r>
    <n v="5"/>
    <x v="75"/>
    <d v="2026-05-08T00:00:00"/>
    <x v="2"/>
    <s v="Wilderness"/>
    <m/>
    <m/>
    <m/>
    <m/>
    <s v="NA"/>
    <n v="0"/>
    <n v="30"/>
    <x v="1"/>
  </r>
  <r>
    <n v="6"/>
    <x v="75"/>
    <d v="2026-05-08T00:00:00"/>
    <x v="2"/>
    <s v="Cape Town"/>
    <m/>
    <m/>
    <m/>
    <m/>
    <s v="NA"/>
    <n v="0"/>
    <n v="30"/>
    <x v="1"/>
  </r>
  <r>
    <n v="1"/>
    <x v="76"/>
    <d v="2026-05-09T00:00:00"/>
    <x v="0"/>
    <s v="Wilderness"/>
    <m/>
    <m/>
    <m/>
    <m/>
    <s v="NA"/>
    <n v="0"/>
    <n v="30"/>
    <x v="1"/>
  </r>
  <r>
    <n v="2"/>
    <x v="76"/>
    <d v="2026-05-09T00:00:00"/>
    <x v="0"/>
    <s v="Cape Town"/>
    <m/>
    <m/>
    <m/>
    <m/>
    <s v="NA"/>
    <n v="0"/>
    <n v="30"/>
    <x v="1"/>
  </r>
  <r>
    <n v="3"/>
    <x v="76"/>
    <d v="2026-05-09T00:00:00"/>
    <x v="1"/>
    <s v="Wilderness"/>
    <m/>
    <m/>
    <m/>
    <m/>
    <s v="NA"/>
    <n v="0"/>
    <n v="30"/>
    <x v="1"/>
  </r>
  <r>
    <n v="4"/>
    <x v="76"/>
    <d v="2026-05-09T00:00:00"/>
    <x v="1"/>
    <s v="Cape Town"/>
    <m/>
    <m/>
    <m/>
    <m/>
    <s v="NA"/>
    <n v="0"/>
    <n v="30"/>
    <x v="1"/>
  </r>
  <r>
    <n v="5"/>
    <x v="76"/>
    <d v="2026-05-09T00:00:00"/>
    <x v="2"/>
    <s v="Wilderness"/>
    <m/>
    <m/>
    <m/>
    <m/>
    <s v="NA"/>
    <n v="0"/>
    <n v="30"/>
    <x v="1"/>
  </r>
  <r>
    <n v="6"/>
    <x v="76"/>
    <d v="2026-05-09T00:00:00"/>
    <x v="2"/>
    <s v="Cape Town"/>
    <m/>
    <m/>
    <m/>
    <m/>
    <s v="NA"/>
    <n v="0"/>
    <n v="30"/>
    <x v="1"/>
  </r>
  <r>
    <n v="1"/>
    <x v="77"/>
    <d v="2026-05-10T00:00:00"/>
    <x v="0"/>
    <s v="Wilderness"/>
    <m/>
    <m/>
    <m/>
    <m/>
    <s v="NA"/>
    <n v="0"/>
    <n v="30"/>
    <x v="1"/>
  </r>
  <r>
    <n v="2"/>
    <x v="77"/>
    <d v="2026-05-10T00:00:00"/>
    <x v="0"/>
    <s v="Cape Town"/>
    <m/>
    <m/>
    <m/>
    <m/>
    <s v="NA"/>
    <n v="0"/>
    <n v="30"/>
    <x v="1"/>
  </r>
  <r>
    <n v="3"/>
    <x v="77"/>
    <d v="2026-05-10T00:00:00"/>
    <x v="1"/>
    <s v="Wilderness"/>
    <m/>
    <m/>
    <m/>
    <m/>
    <s v="NA"/>
    <n v="0"/>
    <n v="30"/>
    <x v="1"/>
  </r>
  <r>
    <n v="4"/>
    <x v="77"/>
    <d v="2026-05-10T00:00:00"/>
    <x v="1"/>
    <s v="Cape Town"/>
    <m/>
    <m/>
    <m/>
    <m/>
    <s v="NA"/>
    <n v="0"/>
    <n v="30"/>
    <x v="1"/>
  </r>
  <r>
    <n v="5"/>
    <x v="77"/>
    <d v="2026-05-10T00:00:00"/>
    <x v="2"/>
    <s v="Wilderness"/>
    <m/>
    <m/>
    <m/>
    <m/>
    <s v="NA"/>
    <n v="0"/>
    <n v="30"/>
    <x v="1"/>
  </r>
  <r>
    <n v="6"/>
    <x v="77"/>
    <d v="2026-05-10T00:00:00"/>
    <x v="2"/>
    <s v="Cape Town"/>
    <m/>
    <m/>
    <m/>
    <m/>
    <s v="NA"/>
    <n v="0"/>
    <n v="30"/>
    <x v="1"/>
  </r>
  <r>
    <m/>
    <x v="78"/>
    <m/>
    <x v="3"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63552-B387-4EEE-A2BB-49FDB57A1B73}" name="PivotTable24" cacheId="3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Y3:AC19" firstHeaderRow="1" firstDataRow="2" firstDataCol="1" rowPageCount="1" colPageCount="1"/>
  <pivotFields count="15">
    <pivotField showAll="0"/>
    <pivotField axis="axisRow" numFmtId="14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7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umFmtId="14"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Page" showAll="0">
      <items count="4">
        <item m="1" x="2"/>
        <item x="0"/>
        <item x="1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12" item="1" hier="-1"/>
  </pageFields>
  <dataFields count="1">
    <dataField name="Sum of Booking rate vs views" fld="14" baseField="0" baseItem="0" numFmtId="10"/>
  </dataFields>
  <formats count="1">
    <format dxfId="56">
      <pivotArea outline="0" collapsedLevelsAreSubtotals="1" fieldPosition="0"/>
    </format>
  </formats>
  <chartFormats count="3">
    <chartFormat chart="3" format="2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2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23" series="1">
      <pivotArea type="data" outline="0" fieldPosition="0">
        <references count="1"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781D0-062D-45E4-81DF-78A00269E74F}" name="PivotTable2" cacheId="3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E19" firstHeaderRow="1" firstDataRow="2" firstDataCol="1" rowPageCount="1" colPageCount="1"/>
  <pivotFields count="15">
    <pivotField showAll="0"/>
    <pivotField axis="axisRow" numFmtId="14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7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umFmtId="14" showAll="0"/>
    <pivotField axis="axisCol" showAll="0">
      <items count="5">
        <item x="1"/>
        <item x="2"/>
        <item x="0"/>
        <item x="3"/>
        <item t="default"/>
      </items>
    </pivotField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axis="axisPage" showAll="0">
      <items count="4">
        <item m="1" x="2"/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12" item="1" hier="-1"/>
  </pageFields>
  <dataFields count="1">
    <dataField name="Sum of Impressions" fld="5" baseField="0" baseItem="0"/>
  </dataFields>
  <formats count="5">
    <format dxfId="61">
      <pivotArea outline="0" collapsedLevelsAreSubtotals="1" fieldPosition="0">
        <references count="1">
          <reference field="3" count="2" selected="0">
            <x v="1"/>
            <x v="2"/>
          </reference>
        </references>
      </pivotArea>
    </format>
    <format dxfId="60">
      <pivotArea grandCol="1" outline="0" collapsedLevelsAreSubtotals="1" fieldPosition="0"/>
    </format>
    <format dxfId="59">
      <pivotArea type="topRight" dataOnly="0" labelOnly="1" outline="0" fieldPosition="0"/>
    </format>
    <format dxfId="58">
      <pivotArea dataOnly="0" labelOnly="1" fieldPosition="0">
        <references count="1">
          <reference field="3" count="2">
            <x v="1"/>
            <x v="2"/>
          </reference>
        </references>
      </pivotArea>
    </format>
    <format dxfId="57">
      <pivotArea dataOnly="0" labelOnly="1" grandCol="1" outline="0" fieldPosition="0"/>
    </format>
  </formats>
  <chartFormats count="6">
    <chartFormat chart="3" format="2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2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23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033B0-36EC-41B1-AFE2-2E413BE68F6D}" name="PivotTable19" cacheId="3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3:K19" firstHeaderRow="1" firstDataRow="2" firstDataCol="1" rowPageCount="1" colPageCount="1"/>
  <pivotFields count="15">
    <pivotField showAll="0"/>
    <pivotField axis="axisRow" numFmtId="14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7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umFmtId="14"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axis="axisPage" showAll="0">
      <items count="4">
        <item m="1" x="2"/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12" item="1" hier="-1"/>
  </pageFields>
  <dataFields count="1">
    <dataField name="Sum of Property views" fld="6" baseField="0" baseItem="0" numFmtId="164"/>
  </dataFields>
  <formats count="11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" type="button" dataOnly="0" labelOnly="1" outline="0" axis="axisCol" fieldPosition="0"/>
    </format>
    <format dxfId="64">
      <pivotArea type="topRight" dataOnly="0" labelOnly="1" outline="0" fieldPosition="0"/>
    </format>
    <format dxfId="63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62">
      <pivotArea dataOnly="0" labelOnly="1" grandCol="1" outline="0" fieldPosition="0"/>
    </format>
    <format dxfId="24">
      <pivotArea field="12" type="button" dataOnly="0" labelOnly="1" outline="0" axis="axisPage" fieldPosition="0"/>
    </format>
    <format dxfId="22">
      <pivotArea type="origin" dataOnly="0" labelOnly="1" outline="0" fieldPosition="0"/>
    </format>
    <format dxfId="20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14">
            <x v="0"/>
            <x v="1"/>
            <x v="2"/>
            <x v="3"/>
            <x v="4"/>
            <x v="5"/>
            <x v="13"/>
            <x v="15"/>
            <x v="16"/>
            <x v="17"/>
            <x v="18"/>
            <x v="19"/>
            <x v="20"/>
            <x v="21"/>
          </reference>
        </references>
      </pivotArea>
    </format>
    <format dxfId="16">
      <pivotArea dataOnly="0" labelOnly="1" grandRow="1" outline="0" fieldPosition="0"/>
    </format>
  </formats>
  <chartFormats count="9">
    <chartFormat chart="3" format="2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2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23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73D77-5206-4897-AF8E-6B4563ECB3D8}" name="PivotTable20" cacheId="3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M3:Q19" firstHeaderRow="1" firstDataRow="2" firstDataCol="1" rowPageCount="1" colPageCount="1"/>
  <pivotFields count="15">
    <pivotField showAll="0"/>
    <pivotField axis="axisRow" numFmtId="14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7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umFmtId="14"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axis="axisPage" showAll="0">
      <items count="4">
        <item m="1" x="2"/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12" item="1" hier="-1"/>
  </pageFields>
  <dataFields count="1">
    <dataField name="Sum of Booking" fld="7" baseField="0" baseItem="0" numFmtId="164"/>
  </dataFields>
  <formats count="11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Col" fieldPosition="0"/>
    </format>
    <format dxfId="70">
      <pivotArea type="topRight" dataOnly="0" labelOnly="1" outline="0" fieldPosition="0"/>
    </format>
    <format dxfId="69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68">
      <pivotArea dataOnly="0" labelOnly="1" grandCol="1" outline="0" fieldPosition="0"/>
    </format>
    <format dxfId="14">
      <pivotArea field="12" type="button" dataOnly="0" labelOnly="1" outline="0" axis="axisPage" fieldPosition="0"/>
    </format>
    <format dxfId="12">
      <pivotArea type="origin" dataOnly="0" labelOnly="1" outline="0" fieldPosition="0"/>
    </format>
    <format dxfId="10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4">
            <x v="0"/>
            <x v="1"/>
            <x v="2"/>
            <x v="3"/>
            <x v="4"/>
            <x v="5"/>
            <x v="13"/>
            <x v="15"/>
            <x v="16"/>
            <x v="17"/>
            <x v="18"/>
            <x v="19"/>
            <x v="20"/>
            <x v="21"/>
          </reference>
        </references>
      </pivotArea>
    </format>
    <format dxfId="6">
      <pivotArea dataOnly="0" labelOnly="1" grandRow="1" outline="0" fieldPosition="0"/>
    </format>
  </formats>
  <chartFormats count="6">
    <chartFormat chart="3" format="2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2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23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BD15D-FAD3-4886-8796-25634829981A}" name="PivotTable22" cacheId="3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S3:W19" firstHeaderRow="1" firstDataRow="2" firstDataCol="1" rowPageCount="1" colPageCount="1"/>
  <pivotFields count="15">
    <pivotField showAll="0"/>
    <pivotField axis="axisRow" numFmtId="14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7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umFmtId="14"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Page" showAll="0">
      <items count="4">
        <item m="1" x="2"/>
        <item x="0"/>
        <item x="1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12" item="1" hier="-1"/>
  </pageFields>
  <dataFields count="1">
    <dataField name="Sum of View rate Calc" fld="13" baseField="0" baseItem="0" numFmtId="9"/>
  </dataFields>
  <formats count="8">
    <format dxfId="76">
      <pivotArea outline="0" collapsedLevelsAreSubtotals="1" fieldPosition="0"/>
    </format>
    <format dxfId="75">
      <pivotArea outline="0" collapsedLevelsAreSubtotals="1" fieldPosition="0">
        <references count="1">
          <reference field="3" count="2" selected="0">
            <x v="1"/>
            <x v="2"/>
          </reference>
        </references>
      </pivotArea>
    </format>
    <format dxfId="74">
      <pivotArea grandCol="1" outline="0" collapsedLevelsAreSubtotals="1" fieldPosition="0"/>
    </format>
    <format dxfId="4">
      <pivotArea field="12" type="button" dataOnly="0" labelOnly="1" outline="0" axis="axisPage" fieldPosition="0"/>
    </format>
    <format dxfId="3">
      <pivotArea type="origin" dataOnly="0" labelOnly="1" outline="0" fieldPosition="0"/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14">
            <x v="0"/>
            <x v="1"/>
            <x v="2"/>
            <x v="3"/>
            <x v="4"/>
            <x v="5"/>
            <x v="13"/>
            <x v="15"/>
            <x v="16"/>
            <x v="17"/>
            <x v="18"/>
            <x v="19"/>
            <x v="20"/>
            <x v="21"/>
          </reference>
        </references>
      </pivotArea>
    </format>
    <format dxfId="0">
      <pivotArea dataOnly="0" labelOnly="1" grandRow="1" outline="0" fieldPosition="0"/>
    </format>
  </formats>
  <chartFormats count="3">
    <chartFormat chart="3" format="2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2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23" series="1">
      <pivotArea type="data" outline="0" fieldPosition="0">
        <references count="1"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0849-F69F-41EA-B266-EEB8D34BE8B5}">
  <dimension ref="A1:AE34"/>
  <sheetViews>
    <sheetView tabSelected="1" zoomScaleNormal="100" workbookViewId="0">
      <selection activeCell="A5" sqref="A5:A18"/>
    </sheetView>
  </sheetViews>
  <sheetFormatPr defaultRowHeight="15" x14ac:dyDescent="0.25"/>
  <cols>
    <col min="1" max="1" width="19.140625" bestFit="1" customWidth="1"/>
    <col min="2" max="2" width="16.85546875" bestFit="1" customWidth="1"/>
    <col min="3" max="3" width="10.5703125" style="2" bestFit="1" customWidth="1"/>
    <col min="4" max="4" width="7.42578125" style="2" bestFit="1" customWidth="1"/>
    <col min="5" max="5" width="12.7109375" style="2" bestFit="1" customWidth="1"/>
    <col min="6" max="6" width="11.28515625" style="2" customWidth="1"/>
    <col min="7" max="7" width="21.42578125" style="10" bestFit="1" customWidth="1"/>
    <col min="8" max="8" width="18.28515625" style="2" bestFit="1" customWidth="1"/>
    <col min="9" max="9" width="9.5703125" style="2" bestFit="1" customWidth="1"/>
    <col min="10" max="10" width="7.42578125" style="2" bestFit="1" customWidth="1"/>
    <col min="11" max="11" width="12.7109375" style="2" bestFit="1" customWidth="1"/>
    <col min="12" max="12" width="21.42578125" style="2" bestFit="1" customWidth="1"/>
    <col min="13" max="13" width="15" style="10" bestFit="1" customWidth="1"/>
    <col min="14" max="14" width="18.28515625" style="2" bestFit="1" customWidth="1"/>
    <col min="15" max="15" width="9.5703125" style="2" bestFit="1" customWidth="1"/>
    <col min="16" max="16" width="7.42578125" style="2" bestFit="1" customWidth="1"/>
    <col min="17" max="17" width="12.7109375" style="2" bestFit="1" customWidth="1"/>
    <col min="18" max="18" width="11.28515625" customWidth="1"/>
    <col min="19" max="19" width="20.7109375" style="3" bestFit="1" customWidth="1"/>
    <col min="20" max="20" width="16.85546875" bestFit="1" customWidth="1"/>
    <col min="21" max="21" width="8.140625" bestFit="1" customWidth="1"/>
    <col min="22" max="22" width="7.140625" bestFit="1" customWidth="1"/>
    <col min="23" max="24" width="11.28515625" customWidth="1"/>
    <col min="25" max="25" width="27.42578125" bestFit="1" customWidth="1"/>
    <col min="26" max="26" width="16.85546875" bestFit="1" customWidth="1"/>
    <col min="27" max="27" width="8.140625" bestFit="1" customWidth="1"/>
    <col min="28" max="28" width="6.140625" bestFit="1" customWidth="1"/>
    <col min="29" max="30" width="11.28515625" customWidth="1"/>
    <col min="31" max="31" width="20.7109375" bestFit="1" customWidth="1"/>
    <col min="32" max="32" width="32.42578125" bestFit="1" customWidth="1"/>
    <col min="33" max="33" width="25.85546875" bestFit="1" customWidth="1"/>
    <col min="34" max="34" width="11.28515625" bestFit="1" customWidth="1"/>
    <col min="35" max="35" width="26.42578125" bestFit="1" customWidth="1"/>
    <col min="36" max="36" width="20" bestFit="1" customWidth="1"/>
  </cols>
  <sheetData>
    <row r="1" spans="1:31" x14ac:dyDescent="0.25">
      <c r="A1" s="4" t="s">
        <v>16</v>
      </c>
      <c r="B1" t="s">
        <v>17</v>
      </c>
      <c r="G1" s="13" t="s">
        <v>16</v>
      </c>
      <c r="H1" s="6" t="s">
        <v>17</v>
      </c>
      <c r="M1" s="13" t="s">
        <v>16</v>
      </c>
      <c r="N1" s="6" t="s">
        <v>17</v>
      </c>
      <c r="S1" s="13" t="s">
        <v>16</v>
      </c>
      <c r="T1" t="s">
        <v>17</v>
      </c>
      <c r="Y1" s="4" t="s">
        <v>16</v>
      </c>
      <c r="Z1" t="s">
        <v>17</v>
      </c>
    </row>
    <row r="3" spans="1:31" x14ac:dyDescent="0.25">
      <c r="A3" s="4" t="s">
        <v>26</v>
      </c>
      <c r="B3" s="4" t="s">
        <v>18</v>
      </c>
      <c r="C3" s="6"/>
      <c r="D3" s="6"/>
      <c r="E3" s="6"/>
      <c r="G3" s="13" t="s">
        <v>23</v>
      </c>
      <c r="H3" s="12" t="s">
        <v>18</v>
      </c>
      <c r="I3" s="6"/>
      <c r="J3" s="6"/>
      <c r="K3" s="6"/>
      <c r="M3" s="13" t="s">
        <v>25</v>
      </c>
      <c r="N3" s="12" t="s">
        <v>18</v>
      </c>
      <c r="O3" s="6"/>
      <c r="P3" s="6"/>
      <c r="Q3" s="6"/>
      <c r="S3" s="13" t="s">
        <v>27</v>
      </c>
      <c r="T3" s="4" t="s">
        <v>18</v>
      </c>
      <c r="Y3" s="4" t="s">
        <v>28</v>
      </c>
      <c r="Z3" s="4" t="s">
        <v>18</v>
      </c>
    </row>
    <row r="4" spans="1:31" x14ac:dyDescent="0.25">
      <c r="A4" s="4" t="s">
        <v>20</v>
      </c>
      <c r="B4" t="s">
        <v>7</v>
      </c>
      <c r="C4" s="6" t="s">
        <v>0</v>
      </c>
      <c r="D4" s="6" t="s">
        <v>4</v>
      </c>
      <c r="E4" s="6" t="s">
        <v>19</v>
      </c>
      <c r="G4" s="13" t="s">
        <v>20</v>
      </c>
      <c r="H4" s="6" t="s">
        <v>7</v>
      </c>
      <c r="I4" s="6" t="s">
        <v>0</v>
      </c>
      <c r="J4" s="6" t="s">
        <v>4</v>
      </c>
      <c r="K4" s="6" t="s">
        <v>19</v>
      </c>
      <c r="M4" s="13" t="s">
        <v>20</v>
      </c>
      <c r="N4" s="6" t="s">
        <v>7</v>
      </c>
      <c r="O4" s="6" t="s">
        <v>0</v>
      </c>
      <c r="P4" s="6" t="s">
        <v>4</v>
      </c>
      <c r="Q4" s="6" t="s">
        <v>19</v>
      </c>
      <c r="S4" s="13" t="s">
        <v>20</v>
      </c>
      <c r="T4" t="s">
        <v>7</v>
      </c>
      <c r="U4" t="s">
        <v>0</v>
      </c>
      <c r="V4" t="s">
        <v>4</v>
      </c>
      <c r="W4" t="s">
        <v>19</v>
      </c>
      <c r="Y4" s="4" t="s">
        <v>20</v>
      </c>
      <c r="Z4" t="s">
        <v>7</v>
      </c>
      <c r="AA4" t="s">
        <v>0</v>
      </c>
      <c r="AB4" t="s">
        <v>4</v>
      </c>
      <c r="AC4" t="s">
        <v>19</v>
      </c>
    </row>
    <row r="5" spans="1:31" x14ac:dyDescent="0.25">
      <c r="A5" s="5">
        <v>45998</v>
      </c>
      <c r="B5" s="11"/>
      <c r="C5" s="6">
        <v>87780</v>
      </c>
      <c r="D5" s="6">
        <v>585</v>
      </c>
      <c r="E5" s="6">
        <v>88365</v>
      </c>
      <c r="G5" s="5">
        <v>45998</v>
      </c>
      <c r="H5" s="6">
        <v>229</v>
      </c>
      <c r="I5" s="6">
        <v>533</v>
      </c>
      <c r="J5" s="6">
        <v>51</v>
      </c>
      <c r="K5" s="6">
        <v>813</v>
      </c>
      <c r="M5" s="5">
        <v>45998</v>
      </c>
      <c r="N5" s="6">
        <v>1</v>
      </c>
      <c r="O5" s="6">
        <v>13</v>
      </c>
      <c r="P5" s="6">
        <v>1</v>
      </c>
      <c r="Q5" s="6">
        <v>15</v>
      </c>
      <c r="R5" s="6"/>
      <c r="S5" s="5">
        <v>45998</v>
      </c>
      <c r="T5" s="8" t="e">
        <v>#DIV/0!</v>
      </c>
      <c r="U5" s="9">
        <v>6.0719981772613353E-3</v>
      </c>
      <c r="V5" s="9">
        <v>8.7179487179487175E-2</v>
      </c>
      <c r="W5" s="9">
        <v>9.2004753013070779E-3</v>
      </c>
      <c r="Y5" s="5">
        <v>45998</v>
      </c>
      <c r="Z5" s="9">
        <v>4.3668122270742356E-3</v>
      </c>
      <c r="AA5" s="9">
        <v>2.4390243902439025E-2</v>
      </c>
      <c r="AB5" s="9">
        <v>1.9607843137254902E-2</v>
      </c>
      <c r="AC5" s="9">
        <v>1.8450184501845018E-2</v>
      </c>
      <c r="AD5" s="6"/>
      <c r="AE5" s="7" t="e">
        <f>AVERAGE(B5:B8)/30</f>
        <v>#DIV/0!</v>
      </c>
    </row>
    <row r="6" spans="1:31" x14ac:dyDescent="0.25">
      <c r="A6" s="5">
        <v>46014</v>
      </c>
      <c r="B6" s="11"/>
      <c r="C6" s="6">
        <v>90180</v>
      </c>
      <c r="D6" s="6">
        <v>580</v>
      </c>
      <c r="E6" s="6">
        <v>90760</v>
      </c>
      <c r="G6" s="5">
        <v>46014</v>
      </c>
      <c r="H6" s="6">
        <v>286</v>
      </c>
      <c r="I6" s="6">
        <v>671</v>
      </c>
      <c r="J6" s="6">
        <v>64</v>
      </c>
      <c r="K6" s="6">
        <v>1021</v>
      </c>
      <c r="M6" s="5">
        <v>46014</v>
      </c>
      <c r="N6" s="6">
        <v>2</v>
      </c>
      <c r="O6" s="6">
        <v>23</v>
      </c>
      <c r="P6" s="6">
        <v>1</v>
      </c>
      <c r="Q6" s="6">
        <v>26</v>
      </c>
      <c r="R6" s="6"/>
      <c r="S6" s="5">
        <v>46014</v>
      </c>
      <c r="T6" s="8" t="e">
        <v>#DIV/0!</v>
      </c>
      <c r="U6" s="9">
        <v>7.4406742071412733E-3</v>
      </c>
      <c r="V6" s="9">
        <v>0.1103448275862069</v>
      </c>
      <c r="W6" s="9">
        <v>1.124944909651829E-2</v>
      </c>
      <c r="Y6" s="5">
        <v>46014</v>
      </c>
      <c r="Z6" s="9">
        <v>6.993006993006993E-3</v>
      </c>
      <c r="AA6" s="9">
        <v>3.4277198211624442E-2</v>
      </c>
      <c r="AB6" s="9">
        <v>1.5625E-2</v>
      </c>
      <c r="AC6" s="9">
        <v>2.5465230166503428E-2</v>
      </c>
      <c r="AD6" s="6"/>
      <c r="AE6" s="7">
        <f>AVERAGE(C5:C8)/30</f>
        <v>2903.125</v>
      </c>
    </row>
    <row r="7" spans="1:31" x14ac:dyDescent="0.25">
      <c r="A7" s="5">
        <v>46047</v>
      </c>
      <c r="B7" s="11"/>
      <c r="C7" s="6">
        <v>86330</v>
      </c>
      <c r="D7" s="6">
        <v>586</v>
      </c>
      <c r="E7" s="6">
        <v>86916</v>
      </c>
      <c r="G7" s="5">
        <v>46047</v>
      </c>
      <c r="H7" s="6">
        <v>289</v>
      </c>
      <c r="I7" s="6">
        <v>653</v>
      </c>
      <c r="J7" s="6">
        <v>53</v>
      </c>
      <c r="K7" s="6">
        <v>995</v>
      </c>
      <c r="M7" s="5">
        <v>46047</v>
      </c>
      <c r="N7" s="6">
        <v>2</v>
      </c>
      <c r="O7" s="6">
        <v>24</v>
      </c>
      <c r="P7" s="6">
        <v>1</v>
      </c>
      <c r="Q7" s="6">
        <v>27</v>
      </c>
      <c r="R7" s="6"/>
      <c r="S7" s="5">
        <v>46047</v>
      </c>
      <c r="T7" s="8" t="e">
        <v>#DIV/0!</v>
      </c>
      <c r="U7" s="9">
        <v>7.5639986099849416E-3</v>
      </c>
      <c r="V7" s="9">
        <v>9.0443686006825938E-2</v>
      </c>
      <c r="W7" s="9">
        <v>1.144783469096599E-2</v>
      </c>
      <c r="Y7" s="5">
        <v>46047</v>
      </c>
      <c r="Z7" s="9">
        <v>6.920415224913495E-3</v>
      </c>
      <c r="AA7" s="9">
        <v>3.6753445635528334E-2</v>
      </c>
      <c r="AB7" s="9">
        <v>1.8867924528301886E-2</v>
      </c>
      <c r="AC7" s="9">
        <v>2.7135678391959798E-2</v>
      </c>
      <c r="AD7" s="6"/>
      <c r="AE7" s="7">
        <f>AVERAGE(D5:D8)/30</f>
        <v>19.399999999999999</v>
      </c>
    </row>
    <row r="8" spans="1:31" x14ac:dyDescent="0.25">
      <c r="A8" s="5">
        <v>46048</v>
      </c>
      <c r="B8" s="11"/>
      <c r="C8" s="6">
        <v>84085</v>
      </c>
      <c r="D8" s="6">
        <v>577</v>
      </c>
      <c r="E8" s="6">
        <v>84662</v>
      </c>
      <c r="G8" s="5">
        <v>46048</v>
      </c>
      <c r="H8" s="6">
        <v>284</v>
      </c>
      <c r="I8" s="6">
        <v>646</v>
      </c>
      <c r="J8" s="6">
        <v>53</v>
      </c>
      <c r="K8" s="6">
        <v>983</v>
      </c>
      <c r="M8" s="5">
        <v>46048</v>
      </c>
      <c r="N8" s="6">
        <v>3</v>
      </c>
      <c r="O8" s="6">
        <v>24</v>
      </c>
      <c r="P8" s="6">
        <v>1</v>
      </c>
      <c r="Q8" s="6">
        <v>28</v>
      </c>
      <c r="R8" s="6"/>
      <c r="S8" s="5">
        <v>46048</v>
      </c>
      <c r="T8" s="8" t="e">
        <v>#DIV/0!</v>
      </c>
      <c r="U8" s="9">
        <v>7.6827020277100552E-3</v>
      </c>
      <c r="V8" s="9">
        <v>9.1854419410745236E-2</v>
      </c>
      <c r="W8" s="9">
        <v>1.1610876190026221E-2</v>
      </c>
      <c r="Y8" s="5">
        <v>46048</v>
      </c>
      <c r="Z8" s="9">
        <v>1.0563380281690141E-2</v>
      </c>
      <c r="AA8" s="9">
        <v>3.7151702786377708E-2</v>
      </c>
      <c r="AB8" s="9">
        <v>1.8867924528301886E-2</v>
      </c>
      <c r="AC8" s="9">
        <v>2.8484231943031537E-2</v>
      </c>
      <c r="AD8" s="6"/>
    </row>
    <row r="9" spans="1:31" x14ac:dyDescent="0.25">
      <c r="A9" s="5">
        <v>46049</v>
      </c>
      <c r="B9" s="11"/>
      <c r="C9" s="6">
        <v>80592</v>
      </c>
      <c r="D9" s="6">
        <v>567</v>
      </c>
      <c r="E9" s="6">
        <v>81159</v>
      </c>
      <c r="G9" s="5">
        <v>46049</v>
      </c>
      <c r="H9" s="6">
        <v>259</v>
      </c>
      <c r="I9" s="6">
        <v>509</v>
      </c>
      <c r="J9" s="6">
        <v>51</v>
      </c>
      <c r="K9" s="6">
        <v>819</v>
      </c>
      <c r="M9" s="5">
        <v>46049</v>
      </c>
      <c r="N9" s="6">
        <v>3</v>
      </c>
      <c r="O9" s="6">
        <v>24</v>
      </c>
      <c r="P9" s="6">
        <v>1</v>
      </c>
      <c r="Q9" s="6">
        <v>28</v>
      </c>
      <c r="R9" s="6"/>
      <c r="S9" s="5">
        <v>46049</v>
      </c>
      <c r="T9" s="8" t="e">
        <v>#DIV/0!</v>
      </c>
      <c r="U9" s="9">
        <v>6.3157633512011119E-3</v>
      </c>
      <c r="V9" s="9">
        <v>8.9947089947089942E-2</v>
      </c>
      <c r="W9" s="9">
        <v>1.0091302258529554E-2</v>
      </c>
      <c r="Y9" s="5">
        <v>46049</v>
      </c>
      <c r="Z9" s="9">
        <v>1.1583011583011582E-2</v>
      </c>
      <c r="AA9" s="9">
        <v>4.7151277013752456E-2</v>
      </c>
      <c r="AB9" s="9">
        <v>1.9607843137254902E-2</v>
      </c>
      <c r="AC9" s="9">
        <v>3.4188034188034191E-2</v>
      </c>
      <c r="AD9" s="6"/>
    </row>
    <row r="10" spans="1:31" x14ac:dyDescent="0.25">
      <c r="A10" s="5">
        <v>46050</v>
      </c>
      <c r="B10" s="11"/>
      <c r="C10" s="6">
        <v>82592</v>
      </c>
      <c r="D10" s="6">
        <v>539</v>
      </c>
      <c r="E10" s="6">
        <v>83131</v>
      </c>
      <c r="G10" s="5">
        <v>46050</v>
      </c>
      <c r="H10" s="6">
        <v>259</v>
      </c>
      <c r="I10" s="6">
        <v>489</v>
      </c>
      <c r="J10" s="6">
        <v>53</v>
      </c>
      <c r="K10" s="6">
        <v>801</v>
      </c>
      <c r="M10" s="5">
        <v>46050</v>
      </c>
      <c r="N10" s="6">
        <v>3</v>
      </c>
      <c r="O10" s="6">
        <v>24</v>
      </c>
      <c r="P10" s="6">
        <v>2</v>
      </c>
      <c r="Q10" s="6">
        <v>29</v>
      </c>
      <c r="R10" s="6"/>
      <c r="S10" s="5">
        <v>46050</v>
      </c>
      <c r="T10" s="8" t="e">
        <v>#DIV/0!</v>
      </c>
      <c r="U10" s="9">
        <v>5.9206702828361098E-3</v>
      </c>
      <c r="V10" s="9">
        <v>9.8330241187384038E-2</v>
      </c>
      <c r="W10" s="9">
        <v>9.6353947384248961E-3</v>
      </c>
      <c r="Y10" s="5">
        <v>46050</v>
      </c>
      <c r="Z10" s="9">
        <v>1.1583011583011582E-2</v>
      </c>
      <c r="AA10" s="9">
        <v>4.9079754601226995E-2</v>
      </c>
      <c r="AB10" s="9">
        <v>3.7735849056603772E-2</v>
      </c>
      <c r="AC10" s="9">
        <v>3.6204744069912607E-2</v>
      </c>
      <c r="AD10" s="6"/>
    </row>
    <row r="11" spans="1:31" x14ac:dyDescent="0.25">
      <c r="A11" s="5">
        <v>46058</v>
      </c>
      <c r="B11" s="11"/>
      <c r="C11" s="6">
        <v>121333</v>
      </c>
      <c r="D11" s="6">
        <v>420</v>
      </c>
      <c r="E11" s="6">
        <v>121753</v>
      </c>
      <c r="G11" s="5">
        <v>46058</v>
      </c>
      <c r="H11" s="6">
        <v>182</v>
      </c>
      <c r="I11" s="6">
        <v>850</v>
      </c>
      <c r="J11" s="6">
        <v>35</v>
      </c>
      <c r="K11" s="6">
        <v>1067</v>
      </c>
      <c r="M11" s="5">
        <v>46058</v>
      </c>
      <c r="N11" s="6">
        <v>3</v>
      </c>
      <c r="O11" s="6">
        <v>21</v>
      </c>
      <c r="P11" s="6">
        <v>0</v>
      </c>
      <c r="Q11" s="6">
        <v>24</v>
      </c>
      <c r="R11" s="6"/>
      <c r="S11" s="5">
        <v>46058</v>
      </c>
      <c r="T11" s="8" t="e">
        <v>#DIV/0!</v>
      </c>
      <c r="U11" s="9">
        <v>7.005513751411405E-3</v>
      </c>
      <c r="V11" s="9">
        <v>8.3333333333333329E-2</v>
      </c>
      <c r="W11" s="9">
        <v>8.7636444276527059E-3</v>
      </c>
      <c r="Y11" s="5">
        <v>46058</v>
      </c>
      <c r="Z11" s="9">
        <v>1.6483516483516484E-2</v>
      </c>
      <c r="AA11" s="9">
        <v>2.4705882352941175E-2</v>
      </c>
      <c r="AB11" s="9">
        <v>0</v>
      </c>
      <c r="AC11" s="9">
        <v>2.2492970946579195E-2</v>
      </c>
      <c r="AD11" s="6"/>
    </row>
    <row r="12" spans="1:31" x14ac:dyDescent="0.25">
      <c r="A12" s="5">
        <v>46060</v>
      </c>
      <c r="B12" s="11"/>
      <c r="C12" s="6">
        <v>121200</v>
      </c>
      <c r="D12" s="6">
        <v>369</v>
      </c>
      <c r="E12" s="6">
        <v>121569</v>
      </c>
      <c r="G12" s="5">
        <v>46060</v>
      </c>
      <c r="H12" s="6">
        <v>171</v>
      </c>
      <c r="I12" s="6">
        <v>870</v>
      </c>
      <c r="J12" s="6">
        <v>33</v>
      </c>
      <c r="K12" s="6">
        <v>1074</v>
      </c>
      <c r="M12" s="5">
        <v>46060</v>
      </c>
      <c r="N12" s="6">
        <v>2</v>
      </c>
      <c r="O12" s="6">
        <v>19</v>
      </c>
      <c r="P12" s="6">
        <v>0</v>
      </c>
      <c r="Q12" s="6">
        <v>21</v>
      </c>
      <c r="R12" s="6"/>
      <c r="S12" s="5">
        <v>46060</v>
      </c>
      <c r="T12" s="8" t="e">
        <v>#DIV/0!</v>
      </c>
      <c r="U12" s="9">
        <v>7.1782178217821785E-3</v>
      </c>
      <c r="V12" s="9">
        <v>8.943089430894309E-2</v>
      </c>
      <c r="W12" s="9">
        <v>8.8344890555980549E-3</v>
      </c>
      <c r="Y12" s="5">
        <v>46060</v>
      </c>
      <c r="Z12" s="9">
        <v>1.1695906432748537E-2</v>
      </c>
      <c r="AA12" s="9">
        <v>2.1839080459770115E-2</v>
      </c>
      <c r="AB12" s="9">
        <v>0</v>
      </c>
      <c r="AC12" s="9">
        <v>1.9553072625698324E-2</v>
      </c>
      <c r="AD12" s="6"/>
    </row>
    <row r="13" spans="1:31" x14ac:dyDescent="0.25">
      <c r="A13" s="5">
        <v>46061</v>
      </c>
      <c r="B13" s="11"/>
      <c r="C13" s="6">
        <v>124323</v>
      </c>
      <c r="D13" s="6">
        <v>355</v>
      </c>
      <c r="E13" s="6">
        <v>124678</v>
      </c>
      <c r="G13" s="5">
        <v>46061</v>
      </c>
      <c r="H13" s="6">
        <v>173</v>
      </c>
      <c r="I13" s="6">
        <v>898</v>
      </c>
      <c r="J13" s="6">
        <v>22</v>
      </c>
      <c r="K13" s="6">
        <v>1093</v>
      </c>
      <c r="M13" s="5">
        <v>46061</v>
      </c>
      <c r="N13" s="6">
        <v>2</v>
      </c>
      <c r="O13" s="6">
        <v>19</v>
      </c>
      <c r="P13" s="6">
        <v>0</v>
      </c>
      <c r="Q13" s="6">
        <v>21</v>
      </c>
      <c r="R13" s="6"/>
      <c r="S13" s="5">
        <v>46061</v>
      </c>
      <c r="T13" s="8" t="e">
        <v>#DIV/0!</v>
      </c>
      <c r="U13" s="9">
        <v>7.2231204201957805E-3</v>
      </c>
      <c r="V13" s="9">
        <v>6.1971830985915494E-2</v>
      </c>
      <c r="W13" s="9">
        <v>8.7665827170791966E-3</v>
      </c>
      <c r="Y13" s="5">
        <v>46061</v>
      </c>
      <c r="Z13" s="9">
        <v>1.1560693641618497E-2</v>
      </c>
      <c r="AA13" s="9">
        <v>2.1158129175946547E-2</v>
      </c>
      <c r="AB13" s="9">
        <v>0</v>
      </c>
      <c r="AC13" s="9">
        <v>1.9213174748398901E-2</v>
      </c>
      <c r="AD13" s="6"/>
    </row>
    <row r="14" spans="1:31" x14ac:dyDescent="0.25">
      <c r="A14" s="5">
        <v>46062</v>
      </c>
      <c r="B14" s="11"/>
      <c r="C14" s="6">
        <v>120225</v>
      </c>
      <c r="D14" s="6">
        <v>358</v>
      </c>
      <c r="E14" s="6">
        <v>120583</v>
      </c>
      <c r="G14" s="5">
        <v>46062</v>
      </c>
      <c r="H14" s="6">
        <v>163</v>
      </c>
      <c r="I14" s="6">
        <v>883</v>
      </c>
      <c r="J14" s="6">
        <v>22</v>
      </c>
      <c r="K14" s="6">
        <v>1068</v>
      </c>
      <c r="M14" s="5">
        <v>46062</v>
      </c>
      <c r="N14" s="6">
        <v>2</v>
      </c>
      <c r="O14" s="6">
        <v>19</v>
      </c>
      <c r="P14" s="6">
        <v>0</v>
      </c>
      <c r="Q14" s="6">
        <v>21</v>
      </c>
      <c r="R14" s="6"/>
      <c r="S14" s="5">
        <v>46062</v>
      </c>
      <c r="T14" s="8" t="e">
        <v>#DIV/0!</v>
      </c>
      <c r="U14" s="9">
        <v>7.344562279060096E-3</v>
      </c>
      <c r="V14" s="9">
        <v>6.1452513966480445E-2</v>
      </c>
      <c r="W14" s="9">
        <v>8.8569698879609887E-3</v>
      </c>
      <c r="Y14" s="5">
        <v>46062</v>
      </c>
      <c r="Z14" s="9">
        <v>1.2269938650306749E-2</v>
      </c>
      <c r="AA14" s="9">
        <v>2.1517553793884484E-2</v>
      </c>
      <c r="AB14" s="9">
        <v>0</v>
      </c>
      <c r="AC14" s="9">
        <v>1.9662921348314606E-2</v>
      </c>
      <c r="AD14" s="6"/>
    </row>
    <row r="15" spans="1:31" x14ac:dyDescent="0.25">
      <c r="A15" s="5">
        <v>46063</v>
      </c>
      <c r="B15" s="11"/>
      <c r="C15" s="6">
        <v>58369</v>
      </c>
      <c r="D15" s="6">
        <v>359</v>
      </c>
      <c r="E15" s="6">
        <v>58728</v>
      </c>
      <c r="G15" s="5">
        <v>46063</v>
      </c>
      <c r="H15" s="6">
        <v>171</v>
      </c>
      <c r="I15" s="6">
        <v>829</v>
      </c>
      <c r="J15" s="6">
        <v>19</v>
      </c>
      <c r="K15" s="6">
        <v>1019</v>
      </c>
      <c r="M15" s="5">
        <v>46063</v>
      </c>
      <c r="N15" s="6">
        <v>2</v>
      </c>
      <c r="O15" s="6">
        <v>17</v>
      </c>
      <c r="P15" s="6">
        <v>0</v>
      </c>
      <c r="Q15" s="6">
        <v>19</v>
      </c>
      <c r="R15" s="6"/>
      <c r="S15" s="5">
        <v>46063</v>
      </c>
      <c r="T15" s="8" t="e">
        <v>#DIV/0!</v>
      </c>
      <c r="U15" s="9">
        <v>1.4202744607582793E-2</v>
      </c>
      <c r="V15" s="9">
        <v>5.2924791086350974E-2</v>
      </c>
      <c r="W15" s="9">
        <v>1.7351178313581257E-2</v>
      </c>
      <c r="Y15" s="5">
        <v>46063</v>
      </c>
      <c r="Z15" s="9">
        <v>1.1695906432748537E-2</v>
      </c>
      <c r="AA15" s="9">
        <v>2.0506634499396863E-2</v>
      </c>
      <c r="AB15" s="9">
        <v>0</v>
      </c>
      <c r="AC15" s="9">
        <v>1.8645731108930325E-2</v>
      </c>
      <c r="AD15" s="6"/>
    </row>
    <row r="16" spans="1:31" x14ac:dyDescent="0.25">
      <c r="A16" s="5">
        <v>46064</v>
      </c>
      <c r="B16" s="11"/>
      <c r="C16" s="6">
        <v>117144</v>
      </c>
      <c r="D16" s="6">
        <v>363</v>
      </c>
      <c r="E16" s="6">
        <v>117507</v>
      </c>
      <c r="G16" s="5">
        <v>46064</v>
      </c>
      <c r="H16" s="6">
        <v>147</v>
      </c>
      <c r="I16" s="6">
        <v>845</v>
      </c>
      <c r="J16" s="6">
        <v>20</v>
      </c>
      <c r="K16" s="6">
        <v>1012</v>
      </c>
      <c r="M16" s="5">
        <v>46064</v>
      </c>
      <c r="N16" s="6">
        <v>2</v>
      </c>
      <c r="O16" s="6">
        <v>17</v>
      </c>
      <c r="P16" s="6">
        <v>0</v>
      </c>
      <c r="Q16" s="6">
        <v>19</v>
      </c>
      <c r="R16" s="6"/>
      <c r="S16" s="5">
        <v>46064</v>
      </c>
      <c r="T16" s="8" t="e">
        <v>#DIV/0!</v>
      </c>
      <c r="U16" s="9">
        <v>7.2133442600559993E-3</v>
      </c>
      <c r="V16" s="9">
        <v>5.5096418732782371E-2</v>
      </c>
      <c r="W16" s="9">
        <v>8.6122528870620479E-3</v>
      </c>
      <c r="Y16" s="5">
        <v>46064</v>
      </c>
      <c r="Z16" s="9">
        <v>1.3605442176870748E-2</v>
      </c>
      <c r="AA16" s="9">
        <v>2.0118343195266272E-2</v>
      </c>
      <c r="AB16" s="9">
        <v>0</v>
      </c>
      <c r="AC16" s="9">
        <v>1.8774703557312252E-2</v>
      </c>
      <c r="AD16" s="6"/>
    </row>
    <row r="17" spans="1:30" x14ac:dyDescent="0.25">
      <c r="A17" s="5">
        <v>46065</v>
      </c>
      <c r="B17" s="11"/>
      <c r="C17" s="6">
        <v>117512</v>
      </c>
      <c r="D17" s="6">
        <v>335</v>
      </c>
      <c r="E17" s="6">
        <v>117847</v>
      </c>
      <c r="G17" s="5">
        <v>46065</v>
      </c>
      <c r="H17" s="6">
        <v>162</v>
      </c>
      <c r="I17" s="6">
        <v>853</v>
      </c>
      <c r="J17" s="6">
        <v>23</v>
      </c>
      <c r="K17" s="6">
        <v>1038</v>
      </c>
      <c r="M17" s="5">
        <v>46065</v>
      </c>
      <c r="N17" s="6">
        <v>2</v>
      </c>
      <c r="O17" s="6">
        <v>18</v>
      </c>
      <c r="P17" s="6">
        <v>0</v>
      </c>
      <c r="Q17" s="6">
        <v>20</v>
      </c>
      <c r="S17" s="5">
        <v>46065</v>
      </c>
      <c r="T17" s="8" t="e">
        <v>#DIV/0!</v>
      </c>
      <c r="U17" s="9">
        <v>7.2588331404452311E-3</v>
      </c>
      <c r="V17" s="9">
        <v>6.8656716417910449E-2</v>
      </c>
      <c r="W17" s="9">
        <v>8.808030751737422E-3</v>
      </c>
      <c r="Y17" s="5">
        <v>46065</v>
      </c>
      <c r="Z17" s="9">
        <v>1.2345679012345678E-2</v>
      </c>
      <c r="AA17" s="9">
        <v>2.1101992966002344E-2</v>
      </c>
      <c r="AB17" s="9">
        <v>0</v>
      </c>
      <c r="AC17" s="9">
        <v>1.9267822736030827E-2</v>
      </c>
    </row>
    <row r="18" spans="1:30" x14ac:dyDescent="0.25">
      <c r="A18" s="5">
        <v>46066</v>
      </c>
      <c r="B18" s="11"/>
      <c r="C18" s="6">
        <v>117226</v>
      </c>
      <c r="D18" s="6">
        <v>318</v>
      </c>
      <c r="E18" s="6">
        <v>117544</v>
      </c>
      <c r="G18" s="5">
        <v>46066</v>
      </c>
      <c r="H18" s="6">
        <v>154</v>
      </c>
      <c r="I18" s="6">
        <v>836</v>
      </c>
      <c r="J18" s="6">
        <v>20</v>
      </c>
      <c r="K18" s="6">
        <v>1010</v>
      </c>
      <c r="M18" s="5">
        <v>46066</v>
      </c>
      <c r="N18" s="6">
        <v>1</v>
      </c>
      <c r="O18" s="6">
        <v>18</v>
      </c>
      <c r="P18" s="6">
        <v>0</v>
      </c>
      <c r="Q18" s="6">
        <v>19</v>
      </c>
      <c r="S18" s="5">
        <v>46066</v>
      </c>
      <c r="T18" s="8" t="e">
        <v>#DIV/0!</v>
      </c>
      <c r="U18" s="9">
        <v>7.1315237234060701E-3</v>
      </c>
      <c r="V18" s="9">
        <v>6.2893081761006289E-2</v>
      </c>
      <c r="W18" s="9">
        <v>8.5925270536990409E-3</v>
      </c>
      <c r="Y18" s="5">
        <v>46066</v>
      </c>
      <c r="Z18" s="9">
        <v>6.4935064935064939E-3</v>
      </c>
      <c r="AA18" s="9">
        <v>2.1531100478468901E-2</v>
      </c>
      <c r="AB18" s="9">
        <v>0</v>
      </c>
      <c r="AC18" s="9">
        <v>1.8811881188118811E-2</v>
      </c>
    </row>
    <row r="19" spans="1:30" x14ac:dyDescent="0.25">
      <c r="A19" s="5" t="s">
        <v>19</v>
      </c>
      <c r="B19" s="11"/>
      <c r="C19" s="6">
        <v>1408891</v>
      </c>
      <c r="D19" s="6">
        <v>6311</v>
      </c>
      <c r="E19" s="6">
        <v>1415202</v>
      </c>
      <c r="G19" s="5" t="s">
        <v>19</v>
      </c>
      <c r="H19" s="6">
        <v>2929</v>
      </c>
      <c r="I19" s="6">
        <v>10365</v>
      </c>
      <c r="J19" s="6">
        <v>519</v>
      </c>
      <c r="K19" s="6">
        <v>13813</v>
      </c>
      <c r="M19" s="5" t="s">
        <v>19</v>
      </c>
      <c r="N19" s="6">
        <v>30</v>
      </c>
      <c r="O19" s="6">
        <v>280</v>
      </c>
      <c r="P19" s="6">
        <v>7</v>
      </c>
      <c r="Q19" s="6">
        <v>317</v>
      </c>
      <c r="S19" s="5" t="s">
        <v>19</v>
      </c>
      <c r="T19" s="8" t="e">
        <v>#DIV/0!</v>
      </c>
      <c r="U19" s="9">
        <v>7.3568501750667726E-3</v>
      </c>
      <c r="V19" s="9">
        <v>8.2237363333861516E-2</v>
      </c>
      <c r="W19" s="9">
        <v>9.7604440920801405E-3</v>
      </c>
      <c r="Y19" s="5" t="s">
        <v>19</v>
      </c>
      <c r="Z19" s="9">
        <v>1.0242403550699898E-2</v>
      </c>
      <c r="AA19" s="9">
        <v>2.7013989387361312E-2</v>
      </c>
      <c r="AB19" s="9">
        <v>1.348747591522158E-2</v>
      </c>
      <c r="AC19" s="9">
        <v>2.2949395496995584E-2</v>
      </c>
    </row>
    <row r="23" spans="1:30" x14ac:dyDescent="0.25">
      <c r="R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R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R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R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R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R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R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R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R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R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8:30" x14ac:dyDescent="0.25">
      <c r="R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8:30" x14ac:dyDescent="0.25">
      <c r="R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62AD-635D-4CBB-BA88-144250FD5AA2}">
  <dimension ref="A1:O469"/>
  <sheetViews>
    <sheetView workbookViewId="0">
      <pane ySplit="1" topLeftCell="A99" activePane="bottomLeft" state="frozen"/>
      <selection pane="bottomLeft" activeCell="O133" sqref="O121:O133"/>
    </sheetView>
  </sheetViews>
  <sheetFormatPr defaultRowHeight="15" x14ac:dyDescent="0.25"/>
  <cols>
    <col min="1" max="1" width="13.85546875" bestFit="1" customWidth="1"/>
    <col min="2" max="3" width="13.85546875" customWidth="1"/>
    <col min="4" max="4" width="10.42578125" style="3" bestFit="1" customWidth="1"/>
    <col min="5" max="5" width="10.42578125" bestFit="1" customWidth="1"/>
    <col min="6" max="6" width="8.5703125" bestFit="1" customWidth="1"/>
    <col min="7" max="7" width="10.85546875" bestFit="1" customWidth="1"/>
    <col min="8" max="8" width="13.5703125" style="2" bestFit="1" customWidth="1"/>
    <col min="9" max="9" width="15.140625" style="2" bestFit="1" customWidth="1"/>
    <col min="10" max="10" width="11.85546875" style="2" bestFit="1" customWidth="1"/>
    <col min="11" max="11" width="17" style="2" bestFit="1" customWidth="1"/>
    <col min="12" max="12" width="9" style="1" bestFit="1" customWidth="1"/>
    <col min="13" max="13" width="12" bestFit="1" customWidth="1"/>
    <col min="14" max="14" width="12" customWidth="1"/>
  </cols>
  <sheetData>
    <row r="1" spans="1:15" x14ac:dyDescent="0.25">
      <c r="A1" t="s">
        <v>2</v>
      </c>
      <c r="C1" t="s">
        <v>21</v>
      </c>
      <c r="D1" s="3" t="s">
        <v>14</v>
      </c>
      <c r="E1" t="s">
        <v>15</v>
      </c>
      <c r="F1" t="s">
        <v>1</v>
      </c>
      <c r="G1" t="s">
        <v>5</v>
      </c>
      <c r="H1" s="2" t="s">
        <v>8</v>
      </c>
      <c r="I1" s="2" t="s">
        <v>9</v>
      </c>
      <c r="J1" s="2" t="s">
        <v>0</v>
      </c>
      <c r="K1" s="2" t="s">
        <v>22</v>
      </c>
      <c r="L1" s="1" t="s">
        <v>12</v>
      </c>
      <c r="M1" t="s">
        <v>11</v>
      </c>
      <c r="N1" s="2" t="s">
        <v>24</v>
      </c>
      <c r="O1" s="2" t="s">
        <v>16</v>
      </c>
    </row>
    <row r="2" spans="1:15" x14ac:dyDescent="0.25">
      <c r="A2" t="s">
        <v>3</v>
      </c>
      <c r="C2">
        <v>1</v>
      </c>
      <c r="D2" s="3">
        <v>45998</v>
      </c>
      <c r="E2" s="3">
        <f t="shared" ref="E2:E13" si="0">D2+30</f>
        <v>46028</v>
      </c>
      <c r="F2" t="s">
        <v>4</v>
      </c>
      <c r="G2" t="s">
        <v>6</v>
      </c>
      <c r="H2" s="2">
        <v>473</v>
      </c>
      <c r="I2" s="2">
        <v>51</v>
      </c>
      <c r="J2" s="2">
        <v>1</v>
      </c>
      <c r="K2" s="2">
        <v>0</v>
      </c>
      <c r="L2" s="1">
        <f>IFERROR(I2/H2,"NA")</f>
        <v>0.10782241014799154</v>
      </c>
      <c r="M2" s="1">
        <f>IFERROR(J2/I2,0)</f>
        <v>1.9607843137254902E-2</v>
      </c>
      <c r="N2" s="2">
        <f>ABS(D2-E2)</f>
        <v>30</v>
      </c>
      <c r="O2" t="s">
        <v>17</v>
      </c>
    </row>
    <row r="3" spans="1:15" x14ac:dyDescent="0.25">
      <c r="A3" t="s">
        <v>3</v>
      </c>
      <c r="C3">
        <v>2</v>
      </c>
      <c r="D3" s="3">
        <v>45998</v>
      </c>
      <c r="E3" s="3">
        <f t="shared" si="0"/>
        <v>46028</v>
      </c>
      <c r="F3" t="s">
        <v>4</v>
      </c>
      <c r="G3" t="s">
        <v>10</v>
      </c>
      <c r="H3" s="2">
        <v>112</v>
      </c>
      <c r="I3" s="2">
        <v>0</v>
      </c>
      <c r="J3" s="2">
        <v>0</v>
      </c>
      <c r="K3" s="2">
        <v>0</v>
      </c>
      <c r="L3" s="1">
        <f t="shared" ref="L3:L25" si="1">IFERROR(I3/H3,"NA")</f>
        <v>0</v>
      </c>
      <c r="M3" s="1">
        <f t="shared" ref="M3:M25" si="2">IFERROR(J3/I3,0)</f>
        <v>0</v>
      </c>
      <c r="N3" s="2">
        <f t="shared" ref="N3:N66" si="3">ABS(D3-E3)</f>
        <v>30</v>
      </c>
      <c r="O3" t="s">
        <v>17</v>
      </c>
    </row>
    <row r="4" spans="1:15" x14ac:dyDescent="0.25">
      <c r="A4" t="s">
        <v>3</v>
      </c>
      <c r="C4">
        <v>3</v>
      </c>
      <c r="D4" s="3">
        <v>45998</v>
      </c>
      <c r="E4" s="3">
        <f t="shared" si="0"/>
        <v>46028</v>
      </c>
      <c r="F4" t="s">
        <v>7</v>
      </c>
      <c r="G4" t="s">
        <v>6</v>
      </c>
      <c r="I4" s="2">
        <v>143</v>
      </c>
      <c r="J4" s="2">
        <v>1</v>
      </c>
      <c r="K4" s="2">
        <v>0</v>
      </c>
      <c r="L4" s="1" t="str">
        <f t="shared" si="1"/>
        <v>NA</v>
      </c>
      <c r="M4" s="1">
        <f t="shared" si="2"/>
        <v>6.993006993006993E-3</v>
      </c>
      <c r="N4" s="2">
        <f t="shared" si="3"/>
        <v>30</v>
      </c>
      <c r="O4" t="s">
        <v>17</v>
      </c>
    </row>
    <row r="5" spans="1:15" x14ac:dyDescent="0.25">
      <c r="A5" t="s">
        <v>3</v>
      </c>
      <c r="C5">
        <v>4</v>
      </c>
      <c r="D5" s="3">
        <v>45998</v>
      </c>
      <c r="E5" s="3">
        <f t="shared" si="0"/>
        <v>46028</v>
      </c>
      <c r="F5" t="s">
        <v>7</v>
      </c>
      <c r="G5" t="s">
        <v>10</v>
      </c>
      <c r="I5" s="2">
        <v>86</v>
      </c>
      <c r="J5" s="2">
        <v>0</v>
      </c>
      <c r="K5" s="2">
        <v>0</v>
      </c>
      <c r="L5" s="1" t="str">
        <f t="shared" si="1"/>
        <v>NA</v>
      </c>
      <c r="M5" s="1">
        <f t="shared" si="2"/>
        <v>0</v>
      </c>
      <c r="N5" s="2">
        <f t="shared" si="3"/>
        <v>30</v>
      </c>
      <c r="O5" t="s">
        <v>17</v>
      </c>
    </row>
    <row r="6" spans="1:15" x14ac:dyDescent="0.25">
      <c r="A6" t="s">
        <v>3</v>
      </c>
      <c r="C6">
        <v>5</v>
      </c>
      <c r="D6" s="3">
        <v>45998</v>
      </c>
      <c r="E6" s="3">
        <f t="shared" si="0"/>
        <v>46028</v>
      </c>
      <c r="F6" t="s">
        <v>0</v>
      </c>
      <c r="G6" t="s">
        <v>6</v>
      </c>
      <c r="H6" s="2">
        <v>22238</v>
      </c>
      <c r="I6" s="2">
        <v>355</v>
      </c>
      <c r="J6" s="2">
        <v>4</v>
      </c>
      <c r="K6" s="2">
        <v>0</v>
      </c>
      <c r="L6" s="1">
        <f t="shared" si="1"/>
        <v>1.5963665797283928E-2</v>
      </c>
      <c r="M6" s="1">
        <f t="shared" si="2"/>
        <v>1.1267605633802818E-2</v>
      </c>
      <c r="N6" s="2">
        <f t="shared" si="3"/>
        <v>30</v>
      </c>
      <c r="O6" t="s">
        <v>17</v>
      </c>
    </row>
    <row r="7" spans="1:15" x14ac:dyDescent="0.25">
      <c r="A7" t="s">
        <v>3</v>
      </c>
      <c r="C7">
        <v>6</v>
      </c>
      <c r="D7" s="3">
        <v>45998</v>
      </c>
      <c r="E7" s="3">
        <f t="shared" si="0"/>
        <v>46028</v>
      </c>
      <c r="F7" t="s">
        <v>0</v>
      </c>
      <c r="G7" t="s">
        <v>10</v>
      </c>
      <c r="H7" s="2">
        <v>65542</v>
      </c>
      <c r="I7" s="2">
        <v>178</v>
      </c>
      <c r="J7" s="2">
        <v>9</v>
      </c>
      <c r="K7" s="2">
        <v>0</v>
      </c>
      <c r="L7" s="1">
        <f t="shared" si="1"/>
        <v>2.7158158127612827E-3</v>
      </c>
      <c r="M7" s="1">
        <f t="shared" si="2"/>
        <v>5.0561797752808987E-2</v>
      </c>
      <c r="N7" s="2">
        <f t="shared" si="3"/>
        <v>30</v>
      </c>
      <c r="O7" t="s">
        <v>17</v>
      </c>
    </row>
    <row r="8" spans="1:15" x14ac:dyDescent="0.25">
      <c r="A8" t="s">
        <v>13</v>
      </c>
      <c r="C8">
        <v>1</v>
      </c>
      <c r="D8" s="3">
        <v>46014</v>
      </c>
      <c r="E8" s="3">
        <f t="shared" si="0"/>
        <v>46044</v>
      </c>
      <c r="F8" t="s">
        <v>4</v>
      </c>
      <c r="G8" t="s">
        <v>6</v>
      </c>
      <c r="H8" s="2">
        <v>520</v>
      </c>
      <c r="I8" s="2">
        <v>63</v>
      </c>
      <c r="J8" s="2">
        <v>1</v>
      </c>
      <c r="K8" s="2">
        <v>0</v>
      </c>
      <c r="L8" s="1">
        <f t="shared" si="1"/>
        <v>0.12115384615384615</v>
      </c>
      <c r="M8" s="1">
        <f t="shared" si="2"/>
        <v>1.5873015873015872E-2</v>
      </c>
      <c r="N8" s="2">
        <f t="shared" si="3"/>
        <v>30</v>
      </c>
      <c r="O8" t="s">
        <v>17</v>
      </c>
    </row>
    <row r="9" spans="1:15" x14ac:dyDescent="0.25">
      <c r="A9" t="s">
        <v>13</v>
      </c>
      <c r="C9">
        <v>2</v>
      </c>
      <c r="D9" s="3">
        <v>46014</v>
      </c>
      <c r="E9" s="3">
        <f t="shared" si="0"/>
        <v>46044</v>
      </c>
      <c r="F9" t="s">
        <v>4</v>
      </c>
      <c r="G9" t="s">
        <v>10</v>
      </c>
      <c r="H9" s="2">
        <v>60</v>
      </c>
      <c r="I9" s="2">
        <v>1</v>
      </c>
      <c r="J9" s="2">
        <v>0</v>
      </c>
      <c r="K9" s="2">
        <v>0</v>
      </c>
      <c r="L9" s="1">
        <f t="shared" si="1"/>
        <v>1.6666666666666666E-2</v>
      </c>
      <c r="M9" s="1">
        <f t="shared" si="2"/>
        <v>0</v>
      </c>
      <c r="N9" s="2">
        <f t="shared" si="3"/>
        <v>30</v>
      </c>
      <c r="O9" t="s">
        <v>17</v>
      </c>
    </row>
    <row r="10" spans="1:15" x14ac:dyDescent="0.25">
      <c r="A10" t="s">
        <v>13</v>
      </c>
      <c r="C10">
        <v>3</v>
      </c>
      <c r="D10" s="3">
        <v>46014</v>
      </c>
      <c r="E10" s="3">
        <f t="shared" si="0"/>
        <v>46044</v>
      </c>
      <c r="F10" t="s">
        <v>7</v>
      </c>
      <c r="G10" t="s">
        <v>6</v>
      </c>
      <c r="I10" s="2">
        <v>196</v>
      </c>
      <c r="J10" s="2">
        <v>1</v>
      </c>
      <c r="K10" s="2">
        <v>0</v>
      </c>
      <c r="L10" s="1" t="str">
        <f t="shared" si="1"/>
        <v>NA</v>
      </c>
      <c r="M10" s="1">
        <f t="shared" si="2"/>
        <v>5.1020408163265302E-3</v>
      </c>
      <c r="N10" s="2">
        <f t="shared" si="3"/>
        <v>30</v>
      </c>
      <c r="O10" t="s">
        <v>17</v>
      </c>
    </row>
    <row r="11" spans="1:15" x14ac:dyDescent="0.25">
      <c r="A11" t="s">
        <v>13</v>
      </c>
      <c r="C11">
        <v>4</v>
      </c>
      <c r="D11" s="3">
        <v>46014</v>
      </c>
      <c r="E11" s="3">
        <f t="shared" si="0"/>
        <v>46044</v>
      </c>
      <c r="F11" t="s">
        <v>7</v>
      </c>
      <c r="G11" t="s">
        <v>10</v>
      </c>
      <c r="I11" s="2">
        <v>90</v>
      </c>
      <c r="J11" s="2">
        <v>1</v>
      </c>
      <c r="K11" s="2">
        <v>0</v>
      </c>
      <c r="L11" s="1" t="str">
        <f t="shared" si="1"/>
        <v>NA</v>
      </c>
      <c r="M11" s="1">
        <f t="shared" si="2"/>
        <v>1.1111111111111112E-2</v>
      </c>
      <c r="N11" s="2">
        <f t="shared" si="3"/>
        <v>30</v>
      </c>
      <c r="O11" t="s">
        <v>17</v>
      </c>
    </row>
    <row r="12" spans="1:15" x14ac:dyDescent="0.25">
      <c r="A12" t="s">
        <v>13</v>
      </c>
      <c r="C12">
        <v>5</v>
      </c>
      <c r="D12" s="3">
        <v>46014</v>
      </c>
      <c r="E12" s="3">
        <f t="shared" si="0"/>
        <v>46044</v>
      </c>
      <c r="F12" t="s">
        <v>0</v>
      </c>
      <c r="G12" t="s">
        <v>6</v>
      </c>
      <c r="H12" s="2">
        <v>27427</v>
      </c>
      <c r="I12" s="2">
        <v>489</v>
      </c>
      <c r="J12" s="2">
        <v>10</v>
      </c>
      <c r="K12" s="2">
        <v>0</v>
      </c>
      <c r="L12" s="1">
        <f t="shared" si="1"/>
        <v>1.7829146461516024E-2</v>
      </c>
      <c r="M12" s="1">
        <f t="shared" si="2"/>
        <v>2.0449897750511249E-2</v>
      </c>
      <c r="N12" s="2">
        <f t="shared" si="3"/>
        <v>30</v>
      </c>
      <c r="O12" t="s">
        <v>17</v>
      </c>
    </row>
    <row r="13" spans="1:15" x14ac:dyDescent="0.25">
      <c r="A13" t="s">
        <v>13</v>
      </c>
      <c r="C13">
        <v>6</v>
      </c>
      <c r="D13" s="3">
        <v>46014</v>
      </c>
      <c r="E13" s="3">
        <f t="shared" si="0"/>
        <v>46044</v>
      </c>
      <c r="F13" t="s">
        <v>0</v>
      </c>
      <c r="G13" t="s">
        <v>10</v>
      </c>
      <c r="H13" s="2">
        <v>62753</v>
      </c>
      <c r="I13" s="2">
        <v>182</v>
      </c>
      <c r="J13" s="2">
        <v>13</v>
      </c>
      <c r="K13" s="2">
        <v>0</v>
      </c>
      <c r="L13" s="1">
        <f t="shared" si="1"/>
        <v>2.9002597485379184E-3</v>
      </c>
      <c r="M13" s="1">
        <f t="shared" si="2"/>
        <v>7.1428571428571425E-2</v>
      </c>
      <c r="N13" s="2">
        <f t="shared" si="3"/>
        <v>30</v>
      </c>
      <c r="O13" t="s">
        <v>17</v>
      </c>
    </row>
    <row r="14" spans="1:15" x14ac:dyDescent="0.25">
      <c r="C14">
        <v>1</v>
      </c>
      <c r="D14" s="3">
        <v>46047</v>
      </c>
      <c r="E14" s="3">
        <f>D14+30</f>
        <v>46077</v>
      </c>
      <c r="F14" t="s">
        <v>4</v>
      </c>
      <c r="G14" t="s">
        <v>6</v>
      </c>
      <c r="H14" s="2">
        <v>527</v>
      </c>
      <c r="I14" s="2">
        <v>52</v>
      </c>
      <c r="J14" s="2">
        <v>1</v>
      </c>
      <c r="K14" s="2">
        <v>0</v>
      </c>
      <c r="L14" s="1">
        <f t="shared" si="1"/>
        <v>9.8671726755218223E-2</v>
      </c>
      <c r="M14" s="1">
        <f t="shared" si="2"/>
        <v>1.9230769230769232E-2</v>
      </c>
      <c r="N14" s="2">
        <f t="shared" si="3"/>
        <v>30</v>
      </c>
      <c r="O14" t="s">
        <v>17</v>
      </c>
    </row>
    <row r="15" spans="1:15" x14ac:dyDescent="0.25">
      <c r="C15">
        <v>2</v>
      </c>
      <c r="D15" s="3">
        <v>46047</v>
      </c>
      <c r="E15" s="3">
        <f t="shared" ref="E15:E78" si="4">D15+30</f>
        <v>46077</v>
      </c>
      <c r="F15" t="s">
        <v>4</v>
      </c>
      <c r="G15" t="s">
        <v>10</v>
      </c>
      <c r="H15" s="2">
        <v>59</v>
      </c>
      <c r="I15" s="2">
        <v>1</v>
      </c>
      <c r="J15" s="2">
        <v>0</v>
      </c>
      <c r="K15" s="2">
        <v>0</v>
      </c>
      <c r="L15" s="1">
        <f t="shared" si="1"/>
        <v>1.6949152542372881E-2</v>
      </c>
      <c r="M15" s="1">
        <f t="shared" si="2"/>
        <v>0</v>
      </c>
      <c r="N15" s="2">
        <f t="shared" si="3"/>
        <v>30</v>
      </c>
      <c r="O15" t="s">
        <v>17</v>
      </c>
    </row>
    <row r="16" spans="1:15" x14ac:dyDescent="0.25">
      <c r="C16">
        <v>3</v>
      </c>
      <c r="D16" s="3">
        <v>46047</v>
      </c>
      <c r="E16" s="3">
        <f t="shared" si="4"/>
        <v>46077</v>
      </c>
      <c r="F16" t="s">
        <v>7</v>
      </c>
      <c r="G16" t="s">
        <v>6</v>
      </c>
      <c r="I16" s="2">
        <v>197</v>
      </c>
      <c r="J16" s="2">
        <v>1</v>
      </c>
      <c r="K16" s="2">
        <v>0</v>
      </c>
      <c r="L16" s="1" t="str">
        <f t="shared" si="1"/>
        <v>NA</v>
      </c>
      <c r="M16" s="1">
        <f t="shared" si="2"/>
        <v>5.076142131979695E-3</v>
      </c>
      <c r="N16" s="2">
        <f t="shared" si="3"/>
        <v>30</v>
      </c>
      <c r="O16" t="s">
        <v>17</v>
      </c>
    </row>
    <row r="17" spans="3:15" x14ac:dyDescent="0.25">
      <c r="C17">
        <v>4</v>
      </c>
      <c r="D17" s="3">
        <v>46047</v>
      </c>
      <c r="E17" s="3">
        <f t="shared" si="4"/>
        <v>46077</v>
      </c>
      <c r="F17" t="s">
        <v>7</v>
      </c>
      <c r="G17" t="s">
        <v>10</v>
      </c>
      <c r="I17" s="2">
        <v>92</v>
      </c>
      <c r="J17" s="2">
        <v>1</v>
      </c>
      <c r="K17" s="2">
        <v>0</v>
      </c>
      <c r="L17" s="1" t="str">
        <f t="shared" si="1"/>
        <v>NA</v>
      </c>
      <c r="M17" s="1">
        <f t="shared" si="2"/>
        <v>1.0869565217391304E-2</v>
      </c>
      <c r="N17" s="2">
        <f t="shared" si="3"/>
        <v>30</v>
      </c>
      <c r="O17" t="s">
        <v>17</v>
      </c>
    </row>
    <row r="18" spans="3:15" x14ac:dyDescent="0.25">
      <c r="C18">
        <v>5</v>
      </c>
      <c r="D18" s="3">
        <v>46047</v>
      </c>
      <c r="E18" s="3">
        <f t="shared" si="4"/>
        <v>46077</v>
      </c>
      <c r="F18" t="s">
        <v>0</v>
      </c>
      <c r="G18" t="s">
        <v>6</v>
      </c>
      <c r="H18" s="2">
        <v>25806</v>
      </c>
      <c r="I18" s="2">
        <v>480</v>
      </c>
      <c r="J18" s="2">
        <v>11</v>
      </c>
      <c r="K18" s="2">
        <v>0</v>
      </c>
      <c r="L18" s="1">
        <f t="shared" si="1"/>
        <v>1.860032550569635E-2</v>
      </c>
      <c r="M18" s="1">
        <f t="shared" si="2"/>
        <v>2.2916666666666665E-2</v>
      </c>
      <c r="N18" s="2">
        <f>ABS(D18-E18)</f>
        <v>30</v>
      </c>
      <c r="O18" t="s">
        <v>17</v>
      </c>
    </row>
    <row r="19" spans="3:15" x14ac:dyDescent="0.25">
      <c r="C19">
        <v>6</v>
      </c>
      <c r="D19" s="3">
        <v>46047</v>
      </c>
      <c r="E19" s="3">
        <f t="shared" si="4"/>
        <v>46077</v>
      </c>
      <c r="F19" t="s">
        <v>0</v>
      </c>
      <c r="G19" t="s">
        <v>10</v>
      </c>
      <c r="H19" s="2">
        <v>60524</v>
      </c>
      <c r="I19" s="2">
        <v>173</v>
      </c>
      <c r="J19" s="2">
        <v>13</v>
      </c>
      <c r="K19" s="2">
        <v>0</v>
      </c>
      <c r="L19" s="1">
        <f t="shared" si="1"/>
        <v>2.8583702332958824E-3</v>
      </c>
      <c r="M19" s="1">
        <f t="shared" si="2"/>
        <v>7.5144508670520235E-2</v>
      </c>
      <c r="N19" s="2">
        <f t="shared" si="3"/>
        <v>30</v>
      </c>
      <c r="O19" t="s">
        <v>17</v>
      </c>
    </row>
    <row r="20" spans="3:15" x14ac:dyDescent="0.25">
      <c r="C20">
        <v>1</v>
      </c>
      <c r="D20" s="3">
        <v>46048</v>
      </c>
      <c r="E20" s="3">
        <f t="shared" si="4"/>
        <v>46078</v>
      </c>
      <c r="F20" t="s">
        <v>4</v>
      </c>
      <c r="G20" t="s">
        <v>6</v>
      </c>
      <c r="H20" s="2">
        <v>519</v>
      </c>
      <c r="I20" s="2">
        <v>52</v>
      </c>
      <c r="J20" s="2">
        <v>1</v>
      </c>
      <c r="K20" s="2">
        <v>0</v>
      </c>
      <c r="L20" s="1">
        <f t="shared" si="1"/>
        <v>0.1001926782273603</v>
      </c>
      <c r="M20" s="1">
        <f t="shared" si="2"/>
        <v>1.9230769230769232E-2</v>
      </c>
      <c r="N20" s="2">
        <f t="shared" si="3"/>
        <v>30</v>
      </c>
      <c r="O20" t="s">
        <v>17</v>
      </c>
    </row>
    <row r="21" spans="3:15" x14ac:dyDescent="0.25">
      <c r="C21">
        <v>2</v>
      </c>
      <c r="D21" s="3">
        <v>46048</v>
      </c>
      <c r="E21" s="3">
        <f t="shared" si="4"/>
        <v>46078</v>
      </c>
      <c r="F21" t="s">
        <v>4</v>
      </c>
      <c r="G21" t="s">
        <v>10</v>
      </c>
      <c r="H21" s="2">
        <v>58</v>
      </c>
      <c r="I21" s="2">
        <v>1</v>
      </c>
      <c r="J21" s="2">
        <v>0</v>
      </c>
      <c r="K21" s="2">
        <v>0</v>
      </c>
      <c r="L21" s="1">
        <f t="shared" si="1"/>
        <v>1.7241379310344827E-2</v>
      </c>
      <c r="M21" s="1">
        <f t="shared" si="2"/>
        <v>0</v>
      </c>
      <c r="N21" s="2">
        <f t="shared" si="3"/>
        <v>30</v>
      </c>
      <c r="O21" t="s">
        <v>17</v>
      </c>
    </row>
    <row r="22" spans="3:15" x14ac:dyDescent="0.25">
      <c r="C22">
        <v>3</v>
      </c>
      <c r="D22" s="3">
        <v>46048</v>
      </c>
      <c r="E22" s="3">
        <f t="shared" si="4"/>
        <v>46078</v>
      </c>
      <c r="F22" t="s">
        <v>7</v>
      </c>
      <c r="G22" t="s">
        <v>6</v>
      </c>
      <c r="I22" s="2">
        <v>193</v>
      </c>
      <c r="J22" s="2">
        <v>2</v>
      </c>
      <c r="K22" s="2">
        <v>0</v>
      </c>
      <c r="L22" s="1" t="str">
        <f t="shared" si="1"/>
        <v>NA</v>
      </c>
      <c r="M22" s="1">
        <f t="shared" si="2"/>
        <v>1.0362694300518135E-2</v>
      </c>
      <c r="N22" s="2">
        <f t="shared" si="3"/>
        <v>30</v>
      </c>
      <c r="O22" t="s">
        <v>17</v>
      </c>
    </row>
    <row r="23" spans="3:15" x14ac:dyDescent="0.25">
      <c r="C23">
        <v>4</v>
      </c>
      <c r="D23" s="3">
        <v>46048</v>
      </c>
      <c r="E23" s="3">
        <f t="shared" si="4"/>
        <v>46078</v>
      </c>
      <c r="F23" t="s">
        <v>7</v>
      </c>
      <c r="G23" t="s">
        <v>10</v>
      </c>
      <c r="I23" s="2">
        <v>91</v>
      </c>
      <c r="J23" s="2">
        <v>1</v>
      </c>
      <c r="K23" s="2">
        <v>0</v>
      </c>
      <c r="L23" s="1" t="str">
        <f t="shared" si="1"/>
        <v>NA</v>
      </c>
      <c r="M23" s="1">
        <f t="shared" si="2"/>
        <v>1.098901098901099E-2</v>
      </c>
      <c r="N23" s="2">
        <f t="shared" si="3"/>
        <v>30</v>
      </c>
      <c r="O23" t="s">
        <v>17</v>
      </c>
    </row>
    <row r="24" spans="3:15" x14ac:dyDescent="0.25">
      <c r="C24">
        <v>5</v>
      </c>
      <c r="D24" s="3">
        <v>46048</v>
      </c>
      <c r="E24" s="3">
        <f t="shared" si="4"/>
        <v>46078</v>
      </c>
      <c r="F24" t="s">
        <v>0</v>
      </c>
      <c r="G24" t="s">
        <v>6</v>
      </c>
      <c r="H24" s="2">
        <v>25136</v>
      </c>
      <c r="I24" s="2">
        <v>478</v>
      </c>
      <c r="J24" s="2">
        <v>11</v>
      </c>
      <c r="K24" s="2">
        <v>0</v>
      </c>
      <c r="L24" s="1">
        <f t="shared" si="1"/>
        <v>1.901654996817314E-2</v>
      </c>
      <c r="M24" s="1">
        <f t="shared" si="2"/>
        <v>2.3012552301255231E-2</v>
      </c>
      <c r="N24" s="2">
        <f t="shared" si="3"/>
        <v>30</v>
      </c>
      <c r="O24" t="s">
        <v>17</v>
      </c>
    </row>
    <row r="25" spans="3:15" x14ac:dyDescent="0.25">
      <c r="C25">
        <v>6</v>
      </c>
      <c r="D25" s="3">
        <v>46048</v>
      </c>
      <c r="E25" s="3">
        <f t="shared" si="4"/>
        <v>46078</v>
      </c>
      <c r="F25" t="s">
        <v>0</v>
      </c>
      <c r="G25" t="s">
        <v>10</v>
      </c>
      <c r="H25" s="2">
        <v>58949</v>
      </c>
      <c r="I25" s="2">
        <v>168</v>
      </c>
      <c r="J25" s="2">
        <v>13</v>
      </c>
      <c r="K25" s="2">
        <v>0</v>
      </c>
      <c r="L25" s="1">
        <f t="shared" si="1"/>
        <v>2.8499211182547628E-3</v>
      </c>
      <c r="M25" s="1">
        <f t="shared" si="2"/>
        <v>7.7380952380952384E-2</v>
      </c>
      <c r="N25" s="2">
        <f t="shared" si="3"/>
        <v>30</v>
      </c>
      <c r="O25" t="s">
        <v>17</v>
      </c>
    </row>
    <row r="26" spans="3:15" x14ac:dyDescent="0.25">
      <c r="C26">
        <v>1</v>
      </c>
      <c r="D26" s="3">
        <f>D20+1</f>
        <v>46049</v>
      </c>
      <c r="E26" s="3">
        <f t="shared" si="4"/>
        <v>46079</v>
      </c>
      <c r="F26" t="s">
        <v>4</v>
      </c>
      <c r="G26" t="s">
        <v>6</v>
      </c>
      <c r="H26" s="2">
        <v>511</v>
      </c>
      <c r="I26" s="2">
        <v>50</v>
      </c>
      <c r="J26" s="2">
        <v>1</v>
      </c>
      <c r="K26" s="2">
        <v>0</v>
      </c>
      <c r="L26" s="1">
        <f t="shared" ref="L26:L89" si="5">IFERROR(I26/H26,"NA")</f>
        <v>9.7847358121330719E-2</v>
      </c>
      <c r="M26" s="1">
        <f t="shared" ref="M26:M89" si="6">IFERROR(J26/I26,0)</f>
        <v>0.02</v>
      </c>
      <c r="N26" s="2">
        <f t="shared" si="3"/>
        <v>30</v>
      </c>
      <c r="O26" t="s">
        <v>17</v>
      </c>
    </row>
    <row r="27" spans="3:15" x14ac:dyDescent="0.25">
      <c r="C27">
        <v>2</v>
      </c>
      <c r="D27" s="3">
        <f>D26</f>
        <v>46049</v>
      </c>
      <c r="E27" s="3">
        <f t="shared" si="4"/>
        <v>46079</v>
      </c>
      <c r="F27" t="s">
        <v>4</v>
      </c>
      <c r="G27" t="s">
        <v>10</v>
      </c>
      <c r="H27" s="2">
        <v>56</v>
      </c>
      <c r="I27" s="2">
        <v>1</v>
      </c>
      <c r="J27" s="2">
        <v>0</v>
      </c>
      <c r="K27" s="2">
        <v>0</v>
      </c>
      <c r="L27" s="1">
        <f t="shared" si="5"/>
        <v>1.7857142857142856E-2</v>
      </c>
      <c r="M27" s="1">
        <f t="shared" si="6"/>
        <v>0</v>
      </c>
      <c r="N27" s="2">
        <f t="shared" si="3"/>
        <v>30</v>
      </c>
      <c r="O27" t="s">
        <v>17</v>
      </c>
    </row>
    <row r="28" spans="3:15" x14ac:dyDescent="0.25">
      <c r="C28">
        <v>3</v>
      </c>
      <c r="D28" s="3">
        <f>D27</f>
        <v>46049</v>
      </c>
      <c r="E28" s="3">
        <f t="shared" si="4"/>
        <v>46079</v>
      </c>
      <c r="F28" t="s">
        <v>7</v>
      </c>
      <c r="G28" t="s">
        <v>6</v>
      </c>
      <c r="I28" s="2">
        <v>194</v>
      </c>
      <c r="J28" s="2">
        <v>2</v>
      </c>
      <c r="K28" s="2">
        <v>0</v>
      </c>
      <c r="L28" s="1" t="str">
        <f t="shared" si="5"/>
        <v>NA</v>
      </c>
      <c r="M28" s="1">
        <f t="shared" si="6"/>
        <v>1.0309278350515464E-2</v>
      </c>
      <c r="N28" s="2">
        <f t="shared" si="3"/>
        <v>30</v>
      </c>
      <c r="O28" t="s">
        <v>17</v>
      </c>
    </row>
    <row r="29" spans="3:15" x14ac:dyDescent="0.25">
      <c r="C29">
        <v>4</v>
      </c>
      <c r="D29" s="3">
        <f t="shared" ref="D29:D31" si="7">D28</f>
        <v>46049</v>
      </c>
      <c r="E29" s="3">
        <f t="shared" si="4"/>
        <v>46079</v>
      </c>
      <c r="F29" t="s">
        <v>7</v>
      </c>
      <c r="G29" t="s">
        <v>10</v>
      </c>
      <c r="I29" s="2">
        <v>65</v>
      </c>
      <c r="J29" s="2">
        <v>1</v>
      </c>
      <c r="K29" s="2">
        <v>0</v>
      </c>
      <c r="L29" s="1" t="str">
        <f t="shared" si="5"/>
        <v>NA</v>
      </c>
      <c r="M29" s="1">
        <f t="shared" si="6"/>
        <v>1.5384615384615385E-2</v>
      </c>
      <c r="N29" s="2">
        <f t="shared" si="3"/>
        <v>30</v>
      </c>
      <c r="O29" t="s">
        <v>17</v>
      </c>
    </row>
    <row r="30" spans="3:15" x14ac:dyDescent="0.25">
      <c r="C30">
        <v>5</v>
      </c>
      <c r="D30" s="3">
        <f t="shared" si="7"/>
        <v>46049</v>
      </c>
      <c r="E30" s="3">
        <f t="shared" si="4"/>
        <v>46079</v>
      </c>
      <c r="F30" t="s">
        <v>0</v>
      </c>
      <c r="G30" t="s">
        <v>6</v>
      </c>
      <c r="H30" s="2">
        <v>24085</v>
      </c>
      <c r="I30" s="2">
        <v>349</v>
      </c>
      <c r="J30" s="2">
        <v>11</v>
      </c>
      <c r="K30" s="2">
        <v>0</v>
      </c>
      <c r="L30" s="1">
        <f t="shared" si="5"/>
        <v>1.4490346688810463E-2</v>
      </c>
      <c r="M30" s="1">
        <f t="shared" si="6"/>
        <v>3.151862464183381E-2</v>
      </c>
      <c r="N30" s="2">
        <f t="shared" si="3"/>
        <v>30</v>
      </c>
      <c r="O30" t="s">
        <v>17</v>
      </c>
    </row>
    <row r="31" spans="3:15" x14ac:dyDescent="0.25">
      <c r="C31">
        <v>6</v>
      </c>
      <c r="D31" s="3">
        <f t="shared" si="7"/>
        <v>46049</v>
      </c>
      <c r="E31" s="3">
        <f t="shared" si="4"/>
        <v>46079</v>
      </c>
      <c r="F31" t="s">
        <v>0</v>
      </c>
      <c r="G31" t="s">
        <v>10</v>
      </c>
      <c r="H31" s="2">
        <v>56507</v>
      </c>
      <c r="I31" s="2">
        <v>160</v>
      </c>
      <c r="J31" s="2">
        <v>13</v>
      </c>
      <c r="K31" s="2">
        <v>0</v>
      </c>
      <c r="L31" s="1">
        <f t="shared" si="5"/>
        <v>2.8315076008282158E-3</v>
      </c>
      <c r="M31" s="1">
        <f t="shared" si="6"/>
        <v>8.1250000000000003E-2</v>
      </c>
      <c r="N31" s="2">
        <f t="shared" si="3"/>
        <v>30</v>
      </c>
      <c r="O31" t="s">
        <v>17</v>
      </c>
    </row>
    <row r="32" spans="3:15" x14ac:dyDescent="0.25">
      <c r="C32">
        <v>1</v>
      </c>
      <c r="D32" s="3">
        <f>D26+1</f>
        <v>46050</v>
      </c>
      <c r="E32" s="3">
        <f t="shared" si="4"/>
        <v>46080</v>
      </c>
      <c r="F32" t="s">
        <v>4</v>
      </c>
      <c r="G32" t="s">
        <v>6</v>
      </c>
      <c r="H32" s="2">
        <v>484</v>
      </c>
      <c r="I32" s="2">
        <v>52</v>
      </c>
      <c r="J32" s="2">
        <v>2</v>
      </c>
      <c r="K32" s="2">
        <v>0</v>
      </c>
      <c r="L32" s="1">
        <f t="shared" si="5"/>
        <v>0.10743801652892562</v>
      </c>
      <c r="M32" s="1">
        <f t="shared" si="6"/>
        <v>3.8461538461538464E-2</v>
      </c>
      <c r="N32" s="2">
        <f t="shared" si="3"/>
        <v>30</v>
      </c>
      <c r="O32" t="s">
        <v>17</v>
      </c>
    </row>
    <row r="33" spans="3:15" x14ac:dyDescent="0.25">
      <c r="C33">
        <v>2</v>
      </c>
      <c r="D33" s="3">
        <f t="shared" ref="D33:D37" si="8">D32</f>
        <v>46050</v>
      </c>
      <c r="E33" s="3">
        <f t="shared" si="4"/>
        <v>46080</v>
      </c>
      <c r="F33" t="s">
        <v>4</v>
      </c>
      <c r="G33" t="s">
        <v>10</v>
      </c>
      <c r="H33" s="2">
        <v>55</v>
      </c>
      <c r="I33" s="2">
        <v>1</v>
      </c>
      <c r="J33" s="2">
        <v>0</v>
      </c>
      <c r="K33" s="2">
        <v>0</v>
      </c>
      <c r="L33" s="1">
        <f t="shared" si="5"/>
        <v>1.8181818181818181E-2</v>
      </c>
      <c r="M33" s="1">
        <f t="shared" si="6"/>
        <v>0</v>
      </c>
      <c r="N33" s="2">
        <f t="shared" si="3"/>
        <v>30</v>
      </c>
      <c r="O33" t="s">
        <v>17</v>
      </c>
    </row>
    <row r="34" spans="3:15" x14ac:dyDescent="0.25">
      <c r="C34">
        <v>3</v>
      </c>
      <c r="D34" s="3">
        <f t="shared" si="8"/>
        <v>46050</v>
      </c>
      <c r="E34" s="3">
        <f t="shared" si="4"/>
        <v>46080</v>
      </c>
      <c r="F34" t="s">
        <v>7</v>
      </c>
      <c r="G34" t="s">
        <v>6</v>
      </c>
      <c r="I34" s="2">
        <v>194</v>
      </c>
      <c r="J34" s="2">
        <v>2</v>
      </c>
      <c r="K34" s="2">
        <v>0</v>
      </c>
      <c r="L34" s="1" t="str">
        <f t="shared" si="5"/>
        <v>NA</v>
      </c>
      <c r="M34" s="1">
        <f t="shared" si="6"/>
        <v>1.0309278350515464E-2</v>
      </c>
      <c r="N34" s="2">
        <f t="shared" si="3"/>
        <v>30</v>
      </c>
      <c r="O34" t="s">
        <v>17</v>
      </c>
    </row>
    <row r="35" spans="3:15" x14ac:dyDescent="0.25">
      <c r="C35">
        <v>4</v>
      </c>
      <c r="D35" s="3">
        <f t="shared" si="8"/>
        <v>46050</v>
      </c>
      <c r="E35" s="3">
        <f t="shared" si="4"/>
        <v>46080</v>
      </c>
      <c r="F35" t="s">
        <v>7</v>
      </c>
      <c r="G35" t="s">
        <v>10</v>
      </c>
      <c r="I35" s="2">
        <v>65</v>
      </c>
      <c r="J35" s="2">
        <v>1</v>
      </c>
      <c r="K35" s="2">
        <v>0</v>
      </c>
      <c r="L35" s="1" t="str">
        <f t="shared" si="5"/>
        <v>NA</v>
      </c>
      <c r="M35" s="1">
        <f t="shared" si="6"/>
        <v>1.5384615384615385E-2</v>
      </c>
      <c r="N35" s="2">
        <f t="shared" si="3"/>
        <v>30</v>
      </c>
      <c r="O35" t="s">
        <v>17</v>
      </c>
    </row>
    <row r="36" spans="3:15" x14ac:dyDescent="0.25">
      <c r="C36">
        <v>5</v>
      </c>
      <c r="D36" s="3">
        <f t="shared" si="8"/>
        <v>46050</v>
      </c>
      <c r="E36" s="3">
        <f t="shared" si="4"/>
        <v>46080</v>
      </c>
      <c r="F36" t="s">
        <v>0</v>
      </c>
      <c r="G36" t="s">
        <v>6</v>
      </c>
      <c r="H36" s="2">
        <v>24085</v>
      </c>
      <c r="I36" s="2">
        <v>349</v>
      </c>
      <c r="J36" s="2">
        <v>11</v>
      </c>
      <c r="K36" s="2">
        <v>0</v>
      </c>
      <c r="L36" s="1">
        <f t="shared" si="5"/>
        <v>1.4490346688810463E-2</v>
      </c>
      <c r="M36" s="1">
        <f t="shared" si="6"/>
        <v>3.151862464183381E-2</v>
      </c>
      <c r="N36" s="2">
        <f t="shared" si="3"/>
        <v>30</v>
      </c>
      <c r="O36" t="s">
        <v>17</v>
      </c>
    </row>
    <row r="37" spans="3:15" x14ac:dyDescent="0.25">
      <c r="C37">
        <v>6</v>
      </c>
      <c r="D37" s="3">
        <f t="shared" si="8"/>
        <v>46050</v>
      </c>
      <c r="E37" s="3">
        <f t="shared" si="4"/>
        <v>46080</v>
      </c>
      <c r="F37" t="s">
        <v>0</v>
      </c>
      <c r="G37" t="s">
        <v>10</v>
      </c>
      <c r="H37" s="2">
        <v>58507</v>
      </c>
      <c r="I37" s="2">
        <v>140</v>
      </c>
      <c r="J37" s="2">
        <v>13</v>
      </c>
      <c r="K37" s="2">
        <v>0</v>
      </c>
      <c r="L37" s="1">
        <f t="shared" si="5"/>
        <v>2.3928760661117471E-3</v>
      </c>
      <c r="M37" s="1">
        <f t="shared" si="6"/>
        <v>9.285714285714286E-2</v>
      </c>
      <c r="N37" s="2">
        <f t="shared" si="3"/>
        <v>30</v>
      </c>
      <c r="O37" t="s">
        <v>17</v>
      </c>
    </row>
    <row r="38" spans="3:15" x14ac:dyDescent="0.25">
      <c r="C38">
        <v>1</v>
      </c>
      <c r="D38" s="3">
        <f>D32+1</f>
        <v>46051</v>
      </c>
      <c r="E38" s="3">
        <f t="shared" si="4"/>
        <v>46081</v>
      </c>
      <c r="F38" t="s">
        <v>4</v>
      </c>
      <c r="G38" t="s">
        <v>6</v>
      </c>
      <c r="L38" s="1" t="str">
        <f t="shared" si="5"/>
        <v>NA</v>
      </c>
      <c r="M38" s="1">
        <f t="shared" si="6"/>
        <v>0</v>
      </c>
      <c r="N38" s="2">
        <f t="shared" si="3"/>
        <v>30</v>
      </c>
    </row>
    <row r="39" spans="3:15" x14ac:dyDescent="0.25">
      <c r="C39">
        <v>2</v>
      </c>
      <c r="D39" s="3">
        <f t="shared" ref="D39:D43" si="9">D38</f>
        <v>46051</v>
      </c>
      <c r="E39" s="3">
        <f t="shared" si="4"/>
        <v>46081</v>
      </c>
      <c r="F39" t="s">
        <v>4</v>
      </c>
      <c r="G39" t="s">
        <v>10</v>
      </c>
      <c r="L39" s="1" t="str">
        <f t="shared" si="5"/>
        <v>NA</v>
      </c>
      <c r="M39" s="1">
        <f t="shared" si="6"/>
        <v>0</v>
      </c>
      <c r="N39" s="2">
        <f t="shared" si="3"/>
        <v>30</v>
      </c>
    </row>
    <row r="40" spans="3:15" x14ac:dyDescent="0.25">
      <c r="C40">
        <v>3</v>
      </c>
      <c r="D40" s="3">
        <f t="shared" si="9"/>
        <v>46051</v>
      </c>
      <c r="E40" s="3">
        <f t="shared" si="4"/>
        <v>46081</v>
      </c>
      <c r="F40" t="s">
        <v>7</v>
      </c>
      <c r="G40" t="s">
        <v>6</v>
      </c>
      <c r="L40" s="1" t="str">
        <f t="shared" si="5"/>
        <v>NA</v>
      </c>
      <c r="M40" s="1">
        <f t="shared" si="6"/>
        <v>0</v>
      </c>
      <c r="N40" s="2">
        <f t="shared" si="3"/>
        <v>30</v>
      </c>
    </row>
    <row r="41" spans="3:15" x14ac:dyDescent="0.25">
      <c r="C41">
        <v>4</v>
      </c>
      <c r="D41" s="3">
        <f t="shared" si="9"/>
        <v>46051</v>
      </c>
      <c r="E41" s="3">
        <f t="shared" si="4"/>
        <v>46081</v>
      </c>
      <c r="F41" t="s">
        <v>7</v>
      </c>
      <c r="G41" t="s">
        <v>10</v>
      </c>
      <c r="L41" s="1" t="str">
        <f t="shared" si="5"/>
        <v>NA</v>
      </c>
      <c r="M41" s="1">
        <f t="shared" si="6"/>
        <v>0</v>
      </c>
      <c r="N41" s="2">
        <f t="shared" si="3"/>
        <v>30</v>
      </c>
    </row>
    <row r="42" spans="3:15" x14ac:dyDescent="0.25">
      <c r="C42">
        <v>5</v>
      </c>
      <c r="D42" s="3">
        <f t="shared" si="9"/>
        <v>46051</v>
      </c>
      <c r="E42" s="3">
        <f t="shared" si="4"/>
        <v>46081</v>
      </c>
      <c r="F42" t="s">
        <v>0</v>
      </c>
      <c r="G42" t="s">
        <v>6</v>
      </c>
      <c r="L42" s="1" t="str">
        <f t="shared" si="5"/>
        <v>NA</v>
      </c>
      <c r="M42" s="1">
        <f t="shared" si="6"/>
        <v>0</v>
      </c>
      <c r="N42" s="2">
        <f t="shared" si="3"/>
        <v>30</v>
      </c>
    </row>
    <row r="43" spans="3:15" x14ac:dyDescent="0.25">
      <c r="C43">
        <v>6</v>
      </c>
      <c r="D43" s="3">
        <f t="shared" si="9"/>
        <v>46051</v>
      </c>
      <c r="E43" s="3">
        <f t="shared" si="4"/>
        <v>46081</v>
      </c>
      <c r="F43" t="s">
        <v>0</v>
      </c>
      <c r="G43" t="s">
        <v>10</v>
      </c>
      <c r="L43" s="1" t="str">
        <f t="shared" si="5"/>
        <v>NA</v>
      </c>
      <c r="M43" s="1">
        <f t="shared" si="6"/>
        <v>0</v>
      </c>
      <c r="N43" s="2">
        <f t="shared" si="3"/>
        <v>30</v>
      </c>
    </row>
    <row r="44" spans="3:15" x14ac:dyDescent="0.25">
      <c r="C44">
        <v>1</v>
      </c>
      <c r="D44" s="3">
        <f>D38+1</f>
        <v>46052</v>
      </c>
      <c r="E44" s="3">
        <f t="shared" si="4"/>
        <v>46082</v>
      </c>
      <c r="F44" t="s">
        <v>4</v>
      </c>
      <c r="G44" t="s">
        <v>6</v>
      </c>
      <c r="L44" s="1" t="str">
        <f t="shared" si="5"/>
        <v>NA</v>
      </c>
      <c r="M44" s="1">
        <f t="shared" si="6"/>
        <v>0</v>
      </c>
      <c r="N44" s="2">
        <f t="shared" si="3"/>
        <v>30</v>
      </c>
    </row>
    <row r="45" spans="3:15" x14ac:dyDescent="0.25">
      <c r="C45">
        <v>2</v>
      </c>
      <c r="D45" s="3">
        <f t="shared" ref="D45:D49" si="10">D44</f>
        <v>46052</v>
      </c>
      <c r="E45" s="3">
        <f t="shared" si="4"/>
        <v>46082</v>
      </c>
      <c r="F45" t="s">
        <v>4</v>
      </c>
      <c r="G45" t="s">
        <v>10</v>
      </c>
      <c r="L45" s="1" t="str">
        <f t="shared" si="5"/>
        <v>NA</v>
      </c>
      <c r="M45" s="1">
        <f t="shared" si="6"/>
        <v>0</v>
      </c>
      <c r="N45" s="2">
        <f t="shared" si="3"/>
        <v>30</v>
      </c>
    </row>
    <row r="46" spans="3:15" x14ac:dyDescent="0.25">
      <c r="C46">
        <v>3</v>
      </c>
      <c r="D46" s="3">
        <f t="shared" si="10"/>
        <v>46052</v>
      </c>
      <c r="E46" s="3">
        <f t="shared" si="4"/>
        <v>46082</v>
      </c>
      <c r="F46" t="s">
        <v>7</v>
      </c>
      <c r="G46" t="s">
        <v>6</v>
      </c>
      <c r="L46" s="1" t="str">
        <f t="shared" si="5"/>
        <v>NA</v>
      </c>
      <c r="M46" s="1">
        <f t="shared" si="6"/>
        <v>0</v>
      </c>
      <c r="N46" s="2">
        <f t="shared" si="3"/>
        <v>30</v>
      </c>
    </row>
    <row r="47" spans="3:15" x14ac:dyDescent="0.25">
      <c r="C47">
        <v>4</v>
      </c>
      <c r="D47" s="3">
        <f t="shared" si="10"/>
        <v>46052</v>
      </c>
      <c r="E47" s="3">
        <f t="shared" si="4"/>
        <v>46082</v>
      </c>
      <c r="F47" t="s">
        <v>7</v>
      </c>
      <c r="G47" t="s">
        <v>10</v>
      </c>
      <c r="L47" s="1" t="str">
        <f t="shared" si="5"/>
        <v>NA</v>
      </c>
      <c r="M47" s="1">
        <f t="shared" si="6"/>
        <v>0</v>
      </c>
      <c r="N47" s="2">
        <f t="shared" si="3"/>
        <v>30</v>
      </c>
    </row>
    <row r="48" spans="3:15" x14ac:dyDescent="0.25">
      <c r="C48">
        <v>5</v>
      </c>
      <c r="D48" s="3">
        <f t="shared" si="10"/>
        <v>46052</v>
      </c>
      <c r="E48" s="3">
        <f t="shared" si="4"/>
        <v>46082</v>
      </c>
      <c r="F48" t="s">
        <v>0</v>
      </c>
      <c r="G48" t="s">
        <v>6</v>
      </c>
      <c r="L48" s="1" t="str">
        <f t="shared" si="5"/>
        <v>NA</v>
      </c>
      <c r="M48" s="1">
        <f t="shared" si="6"/>
        <v>0</v>
      </c>
      <c r="N48" s="2">
        <f t="shared" si="3"/>
        <v>30</v>
      </c>
    </row>
    <row r="49" spans="3:14" x14ac:dyDescent="0.25">
      <c r="C49">
        <v>6</v>
      </c>
      <c r="D49" s="3">
        <f t="shared" si="10"/>
        <v>46052</v>
      </c>
      <c r="E49" s="3">
        <f t="shared" si="4"/>
        <v>46082</v>
      </c>
      <c r="F49" t="s">
        <v>0</v>
      </c>
      <c r="G49" t="s">
        <v>10</v>
      </c>
      <c r="L49" s="1" t="str">
        <f t="shared" si="5"/>
        <v>NA</v>
      </c>
      <c r="M49" s="1">
        <f t="shared" si="6"/>
        <v>0</v>
      </c>
      <c r="N49" s="2">
        <f t="shared" si="3"/>
        <v>30</v>
      </c>
    </row>
    <row r="50" spans="3:14" x14ac:dyDescent="0.25">
      <c r="C50">
        <v>1</v>
      </c>
      <c r="D50" s="3">
        <f>D44+1</f>
        <v>46053</v>
      </c>
      <c r="E50" s="3">
        <f t="shared" si="4"/>
        <v>46083</v>
      </c>
      <c r="F50" t="s">
        <v>4</v>
      </c>
      <c r="G50" t="s">
        <v>6</v>
      </c>
      <c r="L50" s="1" t="str">
        <f t="shared" si="5"/>
        <v>NA</v>
      </c>
      <c r="M50" s="1">
        <f t="shared" si="6"/>
        <v>0</v>
      </c>
      <c r="N50" s="2">
        <f t="shared" si="3"/>
        <v>30</v>
      </c>
    </row>
    <row r="51" spans="3:14" x14ac:dyDescent="0.25">
      <c r="C51">
        <v>2</v>
      </c>
      <c r="D51" s="3">
        <f t="shared" ref="D51:D55" si="11">D50</f>
        <v>46053</v>
      </c>
      <c r="E51" s="3">
        <f t="shared" si="4"/>
        <v>46083</v>
      </c>
      <c r="F51" t="s">
        <v>4</v>
      </c>
      <c r="G51" t="s">
        <v>10</v>
      </c>
      <c r="L51" s="1" t="str">
        <f t="shared" si="5"/>
        <v>NA</v>
      </c>
      <c r="M51" s="1">
        <f t="shared" si="6"/>
        <v>0</v>
      </c>
      <c r="N51" s="2">
        <f t="shared" si="3"/>
        <v>30</v>
      </c>
    </row>
    <row r="52" spans="3:14" x14ac:dyDescent="0.25">
      <c r="C52">
        <v>3</v>
      </c>
      <c r="D52" s="3">
        <f t="shared" si="11"/>
        <v>46053</v>
      </c>
      <c r="E52" s="3">
        <f t="shared" si="4"/>
        <v>46083</v>
      </c>
      <c r="F52" t="s">
        <v>7</v>
      </c>
      <c r="G52" t="s">
        <v>6</v>
      </c>
      <c r="L52" s="1" t="str">
        <f t="shared" si="5"/>
        <v>NA</v>
      </c>
      <c r="M52" s="1">
        <f t="shared" si="6"/>
        <v>0</v>
      </c>
      <c r="N52" s="2">
        <f t="shared" si="3"/>
        <v>30</v>
      </c>
    </row>
    <row r="53" spans="3:14" x14ac:dyDescent="0.25">
      <c r="C53">
        <v>4</v>
      </c>
      <c r="D53" s="3">
        <f t="shared" si="11"/>
        <v>46053</v>
      </c>
      <c r="E53" s="3">
        <f t="shared" si="4"/>
        <v>46083</v>
      </c>
      <c r="F53" t="s">
        <v>7</v>
      </c>
      <c r="G53" t="s">
        <v>10</v>
      </c>
      <c r="L53" s="1" t="str">
        <f t="shared" si="5"/>
        <v>NA</v>
      </c>
      <c r="M53" s="1">
        <f t="shared" si="6"/>
        <v>0</v>
      </c>
      <c r="N53" s="2">
        <f t="shared" si="3"/>
        <v>30</v>
      </c>
    </row>
    <row r="54" spans="3:14" x14ac:dyDescent="0.25">
      <c r="C54">
        <v>5</v>
      </c>
      <c r="D54" s="3">
        <f t="shared" si="11"/>
        <v>46053</v>
      </c>
      <c r="E54" s="3">
        <f t="shared" si="4"/>
        <v>46083</v>
      </c>
      <c r="F54" t="s">
        <v>0</v>
      </c>
      <c r="G54" t="s">
        <v>6</v>
      </c>
      <c r="L54" s="1" t="str">
        <f t="shared" si="5"/>
        <v>NA</v>
      </c>
      <c r="M54" s="1">
        <f t="shared" si="6"/>
        <v>0</v>
      </c>
      <c r="N54" s="2">
        <f t="shared" si="3"/>
        <v>30</v>
      </c>
    </row>
    <row r="55" spans="3:14" x14ac:dyDescent="0.25">
      <c r="C55">
        <v>6</v>
      </c>
      <c r="D55" s="3">
        <f t="shared" si="11"/>
        <v>46053</v>
      </c>
      <c r="E55" s="3">
        <f t="shared" si="4"/>
        <v>46083</v>
      </c>
      <c r="F55" t="s">
        <v>0</v>
      </c>
      <c r="G55" t="s">
        <v>10</v>
      </c>
      <c r="L55" s="1" t="str">
        <f t="shared" si="5"/>
        <v>NA</v>
      </c>
      <c r="M55" s="1">
        <f t="shared" si="6"/>
        <v>0</v>
      </c>
      <c r="N55" s="2">
        <f t="shared" si="3"/>
        <v>30</v>
      </c>
    </row>
    <row r="56" spans="3:14" x14ac:dyDescent="0.25">
      <c r="C56">
        <v>1</v>
      </c>
      <c r="D56" s="3">
        <f>D50+1</f>
        <v>46054</v>
      </c>
      <c r="E56" s="3">
        <f t="shared" si="4"/>
        <v>46084</v>
      </c>
      <c r="F56" t="s">
        <v>4</v>
      </c>
      <c r="G56" t="s">
        <v>6</v>
      </c>
      <c r="L56" s="1" t="str">
        <f t="shared" si="5"/>
        <v>NA</v>
      </c>
      <c r="M56" s="1">
        <f t="shared" si="6"/>
        <v>0</v>
      </c>
      <c r="N56" s="2">
        <f t="shared" si="3"/>
        <v>30</v>
      </c>
    </row>
    <row r="57" spans="3:14" x14ac:dyDescent="0.25">
      <c r="C57">
        <v>2</v>
      </c>
      <c r="D57" s="3">
        <f t="shared" ref="D57:D61" si="12">D56</f>
        <v>46054</v>
      </c>
      <c r="E57" s="3">
        <f t="shared" si="4"/>
        <v>46084</v>
      </c>
      <c r="F57" t="s">
        <v>4</v>
      </c>
      <c r="G57" t="s">
        <v>10</v>
      </c>
      <c r="L57" s="1" t="str">
        <f t="shared" si="5"/>
        <v>NA</v>
      </c>
      <c r="M57" s="1">
        <f t="shared" si="6"/>
        <v>0</v>
      </c>
      <c r="N57" s="2">
        <f t="shared" si="3"/>
        <v>30</v>
      </c>
    </row>
    <row r="58" spans="3:14" x14ac:dyDescent="0.25">
      <c r="C58">
        <v>3</v>
      </c>
      <c r="D58" s="3">
        <f t="shared" si="12"/>
        <v>46054</v>
      </c>
      <c r="E58" s="3">
        <f t="shared" si="4"/>
        <v>46084</v>
      </c>
      <c r="F58" t="s">
        <v>7</v>
      </c>
      <c r="G58" t="s">
        <v>6</v>
      </c>
      <c r="L58" s="1" t="str">
        <f t="shared" si="5"/>
        <v>NA</v>
      </c>
      <c r="M58" s="1">
        <f t="shared" si="6"/>
        <v>0</v>
      </c>
      <c r="N58" s="2">
        <f t="shared" si="3"/>
        <v>30</v>
      </c>
    </row>
    <row r="59" spans="3:14" x14ac:dyDescent="0.25">
      <c r="C59">
        <v>4</v>
      </c>
      <c r="D59" s="3">
        <f t="shared" si="12"/>
        <v>46054</v>
      </c>
      <c r="E59" s="3">
        <f t="shared" si="4"/>
        <v>46084</v>
      </c>
      <c r="F59" t="s">
        <v>7</v>
      </c>
      <c r="G59" t="s">
        <v>10</v>
      </c>
      <c r="L59" s="1" t="str">
        <f t="shared" si="5"/>
        <v>NA</v>
      </c>
      <c r="M59" s="1">
        <f t="shared" si="6"/>
        <v>0</v>
      </c>
      <c r="N59" s="2">
        <f t="shared" si="3"/>
        <v>30</v>
      </c>
    </row>
    <row r="60" spans="3:14" x14ac:dyDescent="0.25">
      <c r="C60">
        <v>5</v>
      </c>
      <c r="D60" s="3">
        <f t="shared" si="12"/>
        <v>46054</v>
      </c>
      <c r="E60" s="3">
        <f t="shared" si="4"/>
        <v>46084</v>
      </c>
      <c r="F60" t="s">
        <v>0</v>
      </c>
      <c r="G60" t="s">
        <v>6</v>
      </c>
      <c r="L60" s="1" t="str">
        <f t="shared" si="5"/>
        <v>NA</v>
      </c>
      <c r="M60" s="1">
        <f t="shared" si="6"/>
        <v>0</v>
      </c>
      <c r="N60" s="2">
        <f t="shared" si="3"/>
        <v>30</v>
      </c>
    </row>
    <row r="61" spans="3:14" x14ac:dyDescent="0.25">
      <c r="C61">
        <v>6</v>
      </c>
      <c r="D61" s="3">
        <f t="shared" si="12"/>
        <v>46054</v>
      </c>
      <c r="E61" s="3">
        <f t="shared" si="4"/>
        <v>46084</v>
      </c>
      <c r="F61" t="s">
        <v>0</v>
      </c>
      <c r="G61" t="s">
        <v>10</v>
      </c>
      <c r="L61" s="1" t="str">
        <f t="shared" si="5"/>
        <v>NA</v>
      </c>
      <c r="M61" s="1">
        <f t="shared" si="6"/>
        <v>0</v>
      </c>
      <c r="N61" s="2">
        <f t="shared" si="3"/>
        <v>30</v>
      </c>
    </row>
    <row r="62" spans="3:14" x14ac:dyDescent="0.25">
      <c r="C62">
        <v>1</v>
      </c>
      <c r="D62" s="3">
        <f>D56+1</f>
        <v>46055</v>
      </c>
      <c r="E62" s="3">
        <f t="shared" si="4"/>
        <v>46085</v>
      </c>
      <c r="F62" t="s">
        <v>4</v>
      </c>
      <c r="G62" t="s">
        <v>6</v>
      </c>
      <c r="L62" s="1" t="str">
        <f t="shared" si="5"/>
        <v>NA</v>
      </c>
      <c r="M62" s="1">
        <f t="shared" si="6"/>
        <v>0</v>
      </c>
      <c r="N62" s="2">
        <f t="shared" si="3"/>
        <v>30</v>
      </c>
    </row>
    <row r="63" spans="3:14" x14ac:dyDescent="0.25">
      <c r="C63">
        <v>2</v>
      </c>
      <c r="D63" s="3">
        <f t="shared" ref="D63:D67" si="13">D62</f>
        <v>46055</v>
      </c>
      <c r="E63" s="3">
        <f t="shared" si="4"/>
        <v>46085</v>
      </c>
      <c r="F63" t="s">
        <v>4</v>
      </c>
      <c r="G63" t="s">
        <v>10</v>
      </c>
      <c r="L63" s="1" t="str">
        <f t="shared" si="5"/>
        <v>NA</v>
      </c>
      <c r="M63" s="1">
        <f t="shared" si="6"/>
        <v>0</v>
      </c>
      <c r="N63" s="2">
        <f t="shared" si="3"/>
        <v>30</v>
      </c>
    </row>
    <row r="64" spans="3:14" x14ac:dyDescent="0.25">
      <c r="C64">
        <v>3</v>
      </c>
      <c r="D64" s="3">
        <f t="shared" si="13"/>
        <v>46055</v>
      </c>
      <c r="E64" s="3">
        <f t="shared" si="4"/>
        <v>46085</v>
      </c>
      <c r="F64" t="s">
        <v>7</v>
      </c>
      <c r="G64" t="s">
        <v>6</v>
      </c>
      <c r="L64" s="1" t="str">
        <f t="shared" si="5"/>
        <v>NA</v>
      </c>
      <c r="M64" s="1">
        <f t="shared" si="6"/>
        <v>0</v>
      </c>
      <c r="N64" s="2">
        <f t="shared" si="3"/>
        <v>30</v>
      </c>
    </row>
    <row r="65" spans="3:15" x14ac:dyDescent="0.25">
      <c r="C65">
        <v>4</v>
      </c>
      <c r="D65" s="3">
        <f t="shared" si="13"/>
        <v>46055</v>
      </c>
      <c r="E65" s="3">
        <f t="shared" si="4"/>
        <v>46085</v>
      </c>
      <c r="F65" t="s">
        <v>7</v>
      </c>
      <c r="G65" t="s">
        <v>10</v>
      </c>
      <c r="L65" s="1" t="str">
        <f t="shared" si="5"/>
        <v>NA</v>
      </c>
      <c r="M65" s="1">
        <f t="shared" si="6"/>
        <v>0</v>
      </c>
      <c r="N65" s="2">
        <f t="shared" si="3"/>
        <v>30</v>
      </c>
    </row>
    <row r="66" spans="3:15" x14ac:dyDescent="0.25">
      <c r="C66">
        <v>5</v>
      </c>
      <c r="D66" s="3">
        <f t="shared" si="13"/>
        <v>46055</v>
      </c>
      <c r="E66" s="3">
        <f t="shared" si="4"/>
        <v>46085</v>
      </c>
      <c r="F66" t="s">
        <v>0</v>
      </c>
      <c r="G66" t="s">
        <v>6</v>
      </c>
      <c r="L66" s="1" t="str">
        <f t="shared" si="5"/>
        <v>NA</v>
      </c>
      <c r="M66" s="1">
        <f t="shared" si="6"/>
        <v>0</v>
      </c>
      <c r="N66" s="2">
        <f t="shared" si="3"/>
        <v>30</v>
      </c>
    </row>
    <row r="67" spans="3:15" x14ac:dyDescent="0.25">
      <c r="C67">
        <v>6</v>
      </c>
      <c r="D67" s="3">
        <f t="shared" si="13"/>
        <v>46055</v>
      </c>
      <c r="E67" s="3">
        <f t="shared" si="4"/>
        <v>46085</v>
      </c>
      <c r="F67" t="s">
        <v>0</v>
      </c>
      <c r="G67" t="s">
        <v>10</v>
      </c>
      <c r="L67" s="1" t="str">
        <f t="shared" si="5"/>
        <v>NA</v>
      </c>
      <c r="M67" s="1">
        <f t="shared" si="6"/>
        <v>0</v>
      </c>
      <c r="N67" s="2">
        <f t="shared" ref="N67:N130" si="14">ABS(D67-E67)</f>
        <v>30</v>
      </c>
    </row>
    <row r="68" spans="3:15" x14ac:dyDescent="0.25">
      <c r="C68">
        <v>1</v>
      </c>
      <c r="D68" s="3">
        <f>D62+1</f>
        <v>46056</v>
      </c>
      <c r="E68" s="3">
        <f t="shared" si="4"/>
        <v>46086</v>
      </c>
      <c r="F68" t="s">
        <v>4</v>
      </c>
      <c r="G68" t="s">
        <v>6</v>
      </c>
      <c r="L68" s="1" t="str">
        <f t="shared" si="5"/>
        <v>NA</v>
      </c>
      <c r="M68" s="1">
        <f t="shared" si="6"/>
        <v>0</v>
      </c>
      <c r="N68" s="2">
        <f t="shared" si="14"/>
        <v>30</v>
      </c>
    </row>
    <row r="69" spans="3:15" x14ac:dyDescent="0.25">
      <c r="C69">
        <v>2</v>
      </c>
      <c r="D69" s="3">
        <f t="shared" ref="D69:D73" si="15">D68</f>
        <v>46056</v>
      </c>
      <c r="E69" s="3">
        <f t="shared" si="4"/>
        <v>46086</v>
      </c>
      <c r="F69" t="s">
        <v>4</v>
      </c>
      <c r="G69" t="s">
        <v>10</v>
      </c>
      <c r="L69" s="1" t="str">
        <f t="shared" si="5"/>
        <v>NA</v>
      </c>
      <c r="M69" s="1">
        <f t="shared" si="6"/>
        <v>0</v>
      </c>
      <c r="N69" s="2">
        <f t="shared" si="14"/>
        <v>30</v>
      </c>
    </row>
    <row r="70" spans="3:15" x14ac:dyDescent="0.25">
      <c r="C70">
        <v>3</v>
      </c>
      <c r="D70" s="3">
        <f t="shared" si="15"/>
        <v>46056</v>
      </c>
      <c r="E70" s="3">
        <f t="shared" si="4"/>
        <v>46086</v>
      </c>
      <c r="F70" t="s">
        <v>7</v>
      </c>
      <c r="G70" t="s">
        <v>6</v>
      </c>
      <c r="L70" s="1" t="str">
        <f t="shared" si="5"/>
        <v>NA</v>
      </c>
      <c r="M70" s="1">
        <f t="shared" si="6"/>
        <v>0</v>
      </c>
      <c r="N70" s="2">
        <f t="shared" si="14"/>
        <v>30</v>
      </c>
    </row>
    <row r="71" spans="3:15" x14ac:dyDescent="0.25">
      <c r="C71">
        <v>4</v>
      </c>
      <c r="D71" s="3">
        <f t="shared" si="15"/>
        <v>46056</v>
      </c>
      <c r="E71" s="3">
        <f t="shared" si="4"/>
        <v>46086</v>
      </c>
      <c r="F71" t="s">
        <v>7</v>
      </c>
      <c r="G71" t="s">
        <v>10</v>
      </c>
      <c r="L71" s="1" t="str">
        <f t="shared" si="5"/>
        <v>NA</v>
      </c>
      <c r="M71" s="1">
        <f t="shared" si="6"/>
        <v>0</v>
      </c>
      <c r="N71" s="2">
        <f t="shared" si="14"/>
        <v>30</v>
      </c>
    </row>
    <row r="72" spans="3:15" x14ac:dyDescent="0.25">
      <c r="C72">
        <v>5</v>
      </c>
      <c r="D72" s="3">
        <f t="shared" si="15"/>
        <v>46056</v>
      </c>
      <c r="E72" s="3">
        <f t="shared" si="4"/>
        <v>46086</v>
      </c>
      <c r="F72" t="s">
        <v>0</v>
      </c>
      <c r="G72" t="s">
        <v>6</v>
      </c>
      <c r="L72" s="1" t="str">
        <f t="shared" si="5"/>
        <v>NA</v>
      </c>
      <c r="M72" s="1">
        <f t="shared" si="6"/>
        <v>0</v>
      </c>
      <c r="N72" s="2">
        <f t="shared" si="14"/>
        <v>30</v>
      </c>
    </row>
    <row r="73" spans="3:15" x14ac:dyDescent="0.25">
      <c r="C73">
        <v>6</v>
      </c>
      <c r="D73" s="3">
        <f t="shared" si="15"/>
        <v>46056</v>
      </c>
      <c r="E73" s="3">
        <f t="shared" si="4"/>
        <v>46086</v>
      </c>
      <c r="F73" t="s">
        <v>0</v>
      </c>
      <c r="G73" t="s">
        <v>10</v>
      </c>
      <c r="L73" s="1" t="str">
        <f t="shared" si="5"/>
        <v>NA</v>
      </c>
      <c r="M73" s="1">
        <f t="shared" si="6"/>
        <v>0</v>
      </c>
      <c r="N73" s="2">
        <f t="shared" si="14"/>
        <v>30</v>
      </c>
    </row>
    <row r="74" spans="3:15" x14ac:dyDescent="0.25">
      <c r="C74">
        <v>1</v>
      </c>
      <c r="D74" s="3">
        <f>D68+1</f>
        <v>46057</v>
      </c>
      <c r="E74" s="3">
        <f t="shared" si="4"/>
        <v>46087</v>
      </c>
      <c r="F74" t="s">
        <v>4</v>
      </c>
      <c r="G74" t="s">
        <v>6</v>
      </c>
      <c r="L74" s="1" t="str">
        <f t="shared" si="5"/>
        <v>NA</v>
      </c>
      <c r="M74" s="1">
        <f t="shared" si="6"/>
        <v>0</v>
      </c>
      <c r="N74" s="2">
        <f t="shared" si="14"/>
        <v>30</v>
      </c>
    </row>
    <row r="75" spans="3:15" x14ac:dyDescent="0.25">
      <c r="C75">
        <v>2</v>
      </c>
      <c r="D75" s="3">
        <f t="shared" ref="D75:D79" si="16">D74</f>
        <v>46057</v>
      </c>
      <c r="E75" s="3">
        <f t="shared" si="4"/>
        <v>46087</v>
      </c>
      <c r="F75" t="s">
        <v>4</v>
      </c>
      <c r="G75" t="s">
        <v>10</v>
      </c>
      <c r="L75" s="1" t="str">
        <f t="shared" si="5"/>
        <v>NA</v>
      </c>
      <c r="M75" s="1">
        <f t="shared" si="6"/>
        <v>0</v>
      </c>
      <c r="N75" s="2">
        <f t="shared" si="14"/>
        <v>30</v>
      </c>
    </row>
    <row r="76" spans="3:15" x14ac:dyDescent="0.25">
      <c r="C76">
        <v>3</v>
      </c>
      <c r="D76" s="3">
        <f t="shared" si="16"/>
        <v>46057</v>
      </c>
      <c r="E76" s="3">
        <f t="shared" si="4"/>
        <v>46087</v>
      </c>
      <c r="F76" t="s">
        <v>7</v>
      </c>
      <c r="G76" t="s">
        <v>6</v>
      </c>
      <c r="L76" s="1" t="str">
        <f t="shared" si="5"/>
        <v>NA</v>
      </c>
      <c r="M76" s="1">
        <f t="shared" si="6"/>
        <v>0</v>
      </c>
      <c r="N76" s="2">
        <f t="shared" si="14"/>
        <v>30</v>
      </c>
    </row>
    <row r="77" spans="3:15" x14ac:dyDescent="0.25">
      <c r="C77">
        <v>4</v>
      </c>
      <c r="D77" s="3">
        <f t="shared" si="16"/>
        <v>46057</v>
      </c>
      <c r="E77" s="3">
        <f t="shared" si="4"/>
        <v>46087</v>
      </c>
      <c r="F77" t="s">
        <v>7</v>
      </c>
      <c r="G77" t="s">
        <v>10</v>
      </c>
      <c r="L77" s="1" t="str">
        <f t="shared" si="5"/>
        <v>NA</v>
      </c>
      <c r="M77" s="1">
        <f t="shared" si="6"/>
        <v>0</v>
      </c>
      <c r="N77" s="2">
        <f t="shared" si="14"/>
        <v>30</v>
      </c>
    </row>
    <row r="78" spans="3:15" x14ac:dyDescent="0.25">
      <c r="C78">
        <v>5</v>
      </c>
      <c r="D78" s="3">
        <f t="shared" si="16"/>
        <v>46057</v>
      </c>
      <c r="E78" s="3">
        <f t="shared" si="4"/>
        <v>46087</v>
      </c>
      <c r="F78" t="s">
        <v>0</v>
      </c>
      <c r="G78" t="s">
        <v>6</v>
      </c>
      <c r="L78" s="1" t="str">
        <f t="shared" si="5"/>
        <v>NA</v>
      </c>
      <c r="M78" s="1">
        <f t="shared" si="6"/>
        <v>0</v>
      </c>
      <c r="N78" s="2">
        <f t="shared" si="14"/>
        <v>30</v>
      </c>
    </row>
    <row r="79" spans="3:15" x14ac:dyDescent="0.25">
      <c r="C79">
        <v>6</v>
      </c>
      <c r="D79" s="3">
        <f t="shared" si="16"/>
        <v>46057</v>
      </c>
      <c r="E79" s="3">
        <f t="shared" ref="E79:E142" si="17">D79+30</f>
        <v>46087</v>
      </c>
      <c r="F79" t="s">
        <v>0</v>
      </c>
      <c r="G79" t="s">
        <v>10</v>
      </c>
      <c r="L79" s="1" t="str">
        <f t="shared" si="5"/>
        <v>NA</v>
      </c>
      <c r="M79" s="1">
        <f t="shared" si="6"/>
        <v>0</v>
      </c>
      <c r="N79" s="2">
        <f t="shared" si="14"/>
        <v>30</v>
      </c>
    </row>
    <row r="80" spans="3:15" x14ac:dyDescent="0.25">
      <c r="C80">
        <v>1</v>
      </c>
      <c r="D80" s="3">
        <f>D74+1</f>
        <v>46058</v>
      </c>
      <c r="E80" s="3">
        <f t="shared" si="17"/>
        <v>46088</v>
      </c>
      <c r="F80" t="s">
        <v>4</v>
      </c>
      <c r="G80" t="s">
        <v>6</v>
      </c>
      <c r="H80" s="2">
        <v>380</v>
      </c>
      <c r="I80" s="2">
        <v>33</v>
      </c>
      <c r="J80" s="2">
        <v>0</v>
      </c>
      <c r="K80" s="2">
        <v>0</v>
      </c>
      <c r="L80" s="1">
        <f t="shared" si="5"/>
        <v>8.6842105263157901E-2</v>
      </c>
      <c r="M80" s="1">
        <f t="shared" si="6"/>
        <v>0</v>
      </c>
      <c r="N80" s="2">
        <f t="shared" si="14"/>
        <v>30</v>
      </c>
      <c r="O80" t="s">
        <v>17</v>
      </c>
    </row>
    <row r="81" spans="3:15" x14ac:dyDescent="0.25">
      <c r="C81">
        <v>2</v>
      </c>
      <c r="D81" s="3">
        <f t="shared" ref="D81:D85" si="18">D80</f>
        <v>46058</v>
      </c>
      <c r="E81" s="3">
        <f t="shared" si="17"/>
        <v>46088</v>
      </c>
      <c r="F81" t="s">
        <v>4</v>
      </c>
      <c r="G81" t="s">
        <v>10</v>
      </c>
      <c r="H81" s="2">
        <v>40</v>
      </c>
      <c r="I81" s="2">
        <v>2</v>
      </c>
      <c r="J81" s="2">
        <v>0</v>
      </c>
      <c r="K81" s="2">
        <v>0</v>
      </c>
      <c r="L81" s="1">
        <f t="shared" si="5"/>
        <v>0.05</v>
      </c>
      <c r="M81" s="1">
        <f t="shared" si="6"/>
        <v>0</v>
      </c>
      <c r="N81" s="2">
        <f t="shared" si="14"/>
        <v>30</v>
      </c>
      <c r="O81" t="s">
        <v>17</v>
      </c>
    </row>
    <row r="82" spans="3:15" x14ac:dyDescent="0.25">
      <c r="C82">
        <v>3</v>
      </c>
      <c r="D82" s="3">
        <f t="shared" si="18"/>
        <v>46058</v>
      </c>
      <c r="E82" s="3">
        <f t="shared" si="17"/>
        <v>46088</v>
      </c>
      <c r="F82" t="s">
        <v>7</v>
      </c>
      <c r="G82" t="s">
        <v>6</v>
      </c>
      <c r="I82" s="2">
        <v>140</v>
      </c>
      <c r="J82" s="2">
        <v>2</v>
      </c>
      <c r="K82" s="2">
        <v>0</v>
      </c>
      <c r="L82" s="1" t="str">
        <f t="shared" si="5"/>
        <v>NA</v>
      </c>
      <c r="M82" s="1">
        <f t="shared" si="6"/>
        <v>1.4285714285714285E-2</v>
      </c>
      <c r="N82" s="2">
        <f t="shared" si="14"/>
        <v>30</v>
      </c>
      <c r="O82" t="s">
        <v>17</v>
      </c>
    </row>
    <row r="83" spans="3:15" x14ac:dyDescent="0.25">
      <c r="C83">
        <v>4</v>
      </c>
      <c r="D83" s="3">
        <f t="shared" si="18"/>
        <v>46058</v>
      </c>
      <c r="E83" s="3">
        <f t="shared" si="17"/>
        <v>46088</v>
      </c>
      <c r="F83" t="s">
        <v>7</v>
      </c>
      <c r="G83" t="s">
        <v>10</v>
      </c>
      <c r="I83" s="2">
        <v>42</v>
      </c>
      <c r="J83" s="2">
        <v>1</v>
      </c>
      <c r="K83" s="2">
        <v>0</v>
      </c>
      <c r="L83" s="1" t="str">
        <f t="shared" si="5"/>
        <v>NA</v>
      </c>
      <c r="M83" s="1">
        <f t="shared" si="6"/>
        <v>2.3809523809523808E-2</v>
      </c>
      <c r="N83" s="2">
        <f t="shared" si="14"/>
        <v>30</v>
      </c>
      <c r="O83" t="s">
        <v>17</v>
      </c>
    </row>
    <row r="84" spans="3:15" x14ac:dyDescent="0.25">
      <c r="C84">
        <v>5</v>
      </c>
      <c r="D84" s="3">
        <f t="shared" si="18"/>
        <v>46058</v>
      </c>
      <c r="E84" s="3">
        <f t="shared" si="17"/>
        <v>46088</v>
      </c>
      <c r="F84" t="s">
        <v>0</v>
      </c>
      <c r="G84" t="s">
        <v>6</v>
      </c>
      <c r="H84" s="2">
        <v>49295</v>
      </c>
      <c r="I84" s="2">
        <v>651</v>
      </c>
      <c r="J84" s="2">
        <v>11</v>
      </c>
      <c r="K84" s="2">
        <v>0</v>
      </c>
      <c r="L84" s="1">
        <f t="shared" si="5"/>
        <v>1.3206207526118268E-2</v>
      </c>
      <c r="M84" s="1">
        <f t="shared" si="6"/>
        <v>1.6897081413210446E-2</v>
      </c>
      <c r="N84" s="2">
        <f t="shared" si="14"/>
        <v>30</v>
      </c>
      <c r="O84" t="s">
        <v>17</v>
      </c>
    </row>
    <row r="85" spans="3:15" x14ac:dyDescent="0.25">
      <c r="C85">
        <v>6</v>
      </c>
      <c r="D85" s="3">
        <f t="shared" si="18"/>
        <v>46058</v>
      </c>
      <c r="E85" s="3">
        <f t="shared" si="17"/>
        <v>46088</v>
      </c>
      <c r="F85" t="s">
        <v>0</v>
      </c>
      <c r="G85" t="s">
        <v>10</v>
      </c>
      <c r="H85" s="2">
        <v>72038</v>
      </c>
      <c r="I85" s="2">
        <v>199</v>
      </c>
      <c r="J85" s="2">
        <v>10</v>
      </c>
      <c r="K85" s="2">
        <v>0</v>
      </c>
      <c r="L85" s="1">
        <f t="shared" si="5"/>
        <v>2.7624309392265192E-3</v>
      </c>
      <c r="M85" s="1">
        <f t="shared" si="6"/>
        <v>5.0251256281407038E-2</v>
      </c>
      <c r="N85" s="2">
        <f t="shared" si="14"/>
        <v>30</v>
      </c>
      <c r="O85" t="s">
        <v>17</v>
      </c>
    </row>
    <row r="86" spans="3:15" x14ac:dyDescent="0.25">
      <c r="C86">
        <v>1</v>
      </c>
      <c r="D86" s="3">
        <f>D80+1</f>
        <v>46059</v>
      </c>
      <c r="E86" s="3">
        <f t="shared" si="17"/>
        <v>46089</v>
      </c>
      <c r="F86" t="s">
        <v>4</v>
      </c>
      <c r="G86" t="s">
        <v>6</v>
      </c>
      <c r="L86" s="1" t="str">
        <f t="shared" si="5"/>
        <v>NA</v>
      </c>
      <c r="M86" s="1">
        <f t="shared" si="6"/>
        <v>0</v>
      </c>
      <c r="N86" s="2">
        <f t="shared" si="14"/>
        <v>30</v>
      </c>
    </row>
    <row r="87" spans="3:15" x14ac:dyDescent="0.25">
      <c r="C87">
        <v>2</v>
      </c>
      <c r="D87" s="3">
        <f t="shared" ref="D87:D91" si="19">D86</f>
        <v>46059</v>
      </c>
      <c r="E87" s="3">
        <f t="shared" si="17"/>
        <v>46089</v>
      </c>
      <c r="F87" t="s">
        <v>4</v>
      </c>
      <c r="G87" t="s">
        <v>10</v>
      </c>
      <c r="L87" s="1" t="str">
        <f t="shared" si="5"/>
        <v>NA</v>
      </c>
      <c r="M87" s="1">
        <f t="shared" si="6"/>
        <v>0</v>
      </c>
      <c r="N87" s="2">
        <f t="shared" si="14"/>
        <v>30</v>
      </c>
    </row>
    <row r="88" spans="3:15" x14ac:dyDescent="0.25">
      <c r="C88">
        <v>3</v>
      </c>
      <c r="D88" s="3">
        <f t="shared" si="19"/>
        <v>46059</v>
      </c>
      <c r="E88" s="3">
        <f t="shared" si="17"/>
        <v>46089</v>
      </c>
      <c r="F88" t="s">
        <v>7</v>
      </c>
      <c r="G88" t="s">
        <v>6</v>
      </c>
      <c r="L88" s="1" t="str">
        <f t="shared" si="5"/>
        <v>NA</v>
      </c>
      <c r="M88" s="1">
        <f t="shared" si="6"/>
        <v>0</v>
      </c>
      <c r="N88" s="2">
        <f t="shared" si="14"/>
        <v>30</v>
      </c>
    </row>
    <row r="89" spans="3:15" x14ac:dyDescent="0.25">
      <c r="C89">
        <v>4</v>
      </c>
      <c r="D89" s="3">
        <f t="shared" si="19"/>
        <v>46059</v>
      </c>
      <c r="E89" s="3">
        <f t="shared" si="17"/>
        <v>46089</v>
      </c>
      <c r="F89" t="s">
        <v>7</v>
      </c>
      <c r="G89" t="s">
        <v>10</v>
      </c>
      <c r="L89" s="1" t="str">
        <f t="shared" si="5"/>
        <v>NA</v>
      </c>
      <c r="M89" s="1">
        <f t="shared" si="6"/>
        <v>0</v>
      </c>
      <c r="N89" s="2">
        <f t="shared" si="14"/>
        <v>30</v>
      </c>
    </row>
    <row r="90" spans="3:15" x14ac:dyDescent="0.25">
      <c r="C90">
        <v>5</v>
      </c>
      <c r="D90" s="3">
        <f t="shared" si="19"/>
        <v>46059</v>
      </c>
      <c r="E90" s="3">
        <f t="shared" si="17"/>
        <v>46089</v>
      </c>
      <c r="F90" t="s">
        <v>0</v>
      </c>
      <c r="G90" t="s">
        <v>6</v>
      </c>
      <c r="L90" s="1" t="str">
        <f t="shared" ref="L90:L120" si="20">IFERROR(I90/H90,"NA")</f>
        <v>NA</v>
      </c>
      <c r="M90" s="1">
        <f t="shared" ref="M90:M120" si="21">IFERROR(J90/I90,0)</f>
        <v>0</v>
      </c>
      <c r="N90" s="2">
        <f t="shared" si="14"/>
        <v>30</v>
      </c>
    </row>
    <row r="91" spans="3:15" x14ac:dyDescent="0.25">
      <c r="C91">
        <v>6</v>
      </c>
      <c r="D91" s="3">
        <f t="shared" si="19"/>
        <v>46059</v>
      </c>
      <c r="E91" s="3">
        <f t="shared" si="17"/>
        <v>46089</v>
      </c>
      <c r="F91" t="s">
        <v>0</v>
      </c>
      <c r="G91" t="s">
        <v>10</v>
      </c>
      <c r="L91" s="1" t="str">
        <f t="shared" si="20"/>
        <v>NA</v>
      </c>
      <c r="M91" s="1">
        <f t="shared" si="21"/>
        <v>0</v>
      </c>
      <c r="N91" s="2">
        <f t="shared" si="14"/>
        <v>30</v>
      </c>
    </row>
    <row r="92" spans="3:15" x14ac:dyDescent="0.25">
      <c r="C92">
        <v>1</v>
      </c>
      <c r="D92" s="3">
        <f>D86+1</f>
        <v>46060</v>
      </c>
      <c r="E92" s="3">
        <f t="shared" si="17"/>
        <v>46090</v>
      </c>
      <c r="F92" t="s">
        <v>4</v>
      </c>
      <c r="G92" t="s">
        <v>6</v>
      </c>
      <c r="H92" s="2">
        <v>343</v>
      </c>
      <c r="I92" s="2">
        <v>31</v>
      </c>
      <c r="J92" s="2">
        <v>0</v>
      </c>
      <c r="K92" s="2">
        <v>0</v>
      </c>
      <c r="L92" s="1">
        <f t="shared" si="20"/>
        <v>9.0379008746355682E-2</v>
      </c>
      <c r="M92" s="1">
        <f t="shared" si="21"/>
        <v>0</v>
      </c>
      <c r="N92" s="2">
        <f t="shared" si="14"/>
        <v>30</v>
      </c>
      <c r="O92" t="s">
        <v>17</v>
      </c>
    </row>
    <row r="93" spans="3:15" x14ac:dyDescent="0.25">
      <c r="C93">
        <v>2</v>
      </c>
      <c r="D93" s="3">
        <f t="shared" ref="D93:D97" si="22">D92</f>
        <v>46060</v>
      </c>
      <c r="E93" s="3">
        <f t="shared" si="17"/>
        <v>46090</v>
      </c>
      <c r="F93" t="s">
        <v>4</v>
      </c>
      <c r="G93" t="s">
        <v>10</v>
      </c>
      <c r="H93" s="2">
        <v>26</v>
      </c>
      <c r="I93" s="2">
        <v>2</v>
      </c>
      <c r="J93" s="2">
        <v>0</v>
      </c>
      <c r="K93" s="2">
        <v>0</v>
      </c>
      <c r="L93" s="1">
        <f t="shared" si="20"/>
        <v>7.6923076923076927E-2</v>
      </c>
      <c r="M93" s="1">
        <f t="shared" si="21"/>
        <v>0</v>
      </c>
      <c r="N93" s="2">
        <f t="shared" si="14"/>
        <v>30</v>
      </c>
      <c r="O93" t="s">
        <v>17</v>
      </c>
    </row>
    <row r="94" spans="3:15" x14ac:dyDescent="0.25">
      <c r="C94">
        <v>3</v>
      </c>
      <c r="D94" s="3">
        <f t="shared" si="22"/>
        <v>46060</v>
      </c>
      <c r="E94" s="3">
        <f t="shared" si="17"/>
        <v>46090</v>
      </c>
      <c r="F94" t="s">
        <v>7</v>
      </c>
      <c r="G94" t="s">
        <v>6</v>
      </c>
      <c r="I94" s="2">
        <v>134</v>
      </c>
      <c r="J94" s="2">
        <v>2</v>
      </c>
      <c r="K94" s="2">
        <v>0</v>
      </c>
      <c r="L94" s="1" t="str">
        <f t="shared" si="20"/>
        <v>NA</v>
      </c>
      <c r="M94" s="1">
        <f t="shared" si="21"/>
        <v>1.4925373134328358E-2</v>
      </c>
      <c r="N94" s="2">
        <f t="shared" si="14"/>
        <v>30</v>
      </c>
      <c r="O94" t="s">
        <v>17</v>
      </c>
    </row>
    <row r="95" spans="3:15" x14ac:dyDescent="0.25">
      <c r="C95">
        <v>4</v>
      </c>
      <c r="D95" s="3">
        <f t="shared" si="22"/>
        <v>46060</v>
      </c>
      <c r="E95" s="3">
        <f t="shared" si="17"/>
        <v>46090</v>
      </c>
      <c r="F95" t="s">
        <v>7</v>
      </c>
      <c r="G95" t="s">
        <v>10</v>
      </c>
      <c r="I95" s="2">
        <v>37</v>
      </c>
      <c r="J95" s="2">
        <v>0</v>
      </c>
      <c r="K95" s="2">
        <v>0</v>
      </c>
      <c r="L95" s="1" t="str">
        <f t="shared" si="20"/>
        <v>NA</v>
      </c>
      <c r="M95" s="1">
        <f t="shared" si="21"/>
        <v>0</v>
      </c>
      <c r="N95" s="2">
        <f t="shared" si="14"/>
        <v>30</v>
      </c>
      <c r="O95" t="s">
        <v>17</v>
      </c>
    </row>
    <row r="96" spans="3:15" x14ac:dyDescent="0.25">
      <c r="C96">
        <v>5</v>
      </c>
      <c r="D96" s="3">
        <f t="shared" si="22"/>
        <v>46060</v>
      </c>
      <c r="E96" s="3">
        <f t="shared" si="17"/>
        <v>46090</v>
      </c>
      <c r="F96" t="s">
        <v>0</v>
      </c>
      <c r="G96" t="s">
        <v>6</v>
      </c>
      <c r="H96" s="2">
        <v>50669</v>
      </c>
      <c r="I96" s="2">
        <v>669</v>
      </c>
      <c r="J96" s="2">
        <v>10</v>
      </c>
      <c r="K96" s="2">
        <v>0</v>
      </c>
      <c r="L96" s="1">
        <f t="shared" si="20"/>
        <v>1.3203339319899742E-2</v>
      </c>
      <c r="M96" s="1">
        <f t="shared" si="21"/>
        <v>1.4947683109118086E-2</v>
      </c>
      <c r="N96" s="2">
        <f t="shared" si="14"/>
        <v>30</v>
      </c>
      <c r="O96" t="s">
        <v>17</v>
      </c>
    </row>
    <row r="97" spans="3:15" x14ac:dyDescent="0.25">
      <c r="C97">
        <v>6</v>
      </c>
      <c r="D97" s="3">
        <f t="shared" si="22"/>
        <v>46060</v>
      </c>
      <c r="E97" s="3">
        <f t="shared" si="17"/>
        <v>46090</v>
      </c>
      <c r="F97" t="s">
        <v>0</v>
      </c>
      <c r="G97" t="s">
        <v>10</v>
      </c>
      <c r="H97" s="2">
        <v>70531</v>
      </c>
      <c r="I97" s="2">
        <v>201</v>
      </c>
      <c r="J97" s="2">
        <v>9</v>
      </c>
      <c r="K97" s="2">
        <v>0</v>
      </c>
      <c r="L97" s="1">
        <f t="shared" si="20"/>
        <v>2.8498107215267046E-3</v>
      </c>
      <c r="M97" s="1">
        <f t="shared" si="21"/>
        <v>4.4776119402985072E-2</v>
      </c>
      <c r="N97" s="2">
        <f t="shared" si="14"/>
        <v>30</v>
      </c>
      <c r="O97" t="s">
        <v>17</v>
      </c>
    </row>
    <row r="98" spans="3:15" x14ac:dyDescent="0.25">
      <c r="C98">
        <v>1</v>
      </c>
      <c r="D98" s="3">
        <f>D92+1</f>
        <v>46061</v>
      </c>
      <c r="E98" s="3">
        <f t="shared" si="17"/>
        <v>46091</v>
      </c>
      <c r="F98" t="s">
        <v>4</v>
      </c>
      <c r="G98" t="s">
        <v>6</v>
      </c>
      <c r="H98" s="2">
        <v>327</v>
      </c>
      <c r="I98" s="2">
        <v>20</v>
      </c>
      <c r="J98" s="2">
        <v>0</v>
      </c>
      <c r="K98" s="2">
        <v>0</v>
      </c>
      <c r="L98" s="1">
        <f t="shared" ref="L98:L110" si="23">IFERROR(I98/H98,"NA")</f>
        <v>6.1162079510703363E-2</v>
      </c>
      <c r="M98" s="1">
        <f t="shared" si="21"/>
        <v>0</v>
      </c>
      <c r="N98" s="2">
        <f t="shared" si="14"/>
        <v>30</v>
      </c>
      <c r="O98" t="s">
        <v>17</v>
      </c>
    </row>
    <row r="99" spans="3:15" x14ac:dyDescent="0.25">
      <c r="C99">
        <v>2</v>
      </c>
      <c r="D99" s="3">
        <f t="shared" ref="D99:D103" si="24">D98</f>
        <v>46061</v>
      </c>
      <c r="E99" s="3">
        <f t="shared" si="17"/>
        <v>46091</v>
      </c>
      <c r="F99" t="s">
        <v>4</v>
      </c>
      <c r="G99" t="s">
        <v>10</v>
      </c>
      <c r="H99" s="2">
        <v>28</v>
      </c>
      <c r="I99" s="2">
        <v>2</v>
      </c>
      <c r="J99" s="2">
        <v>0</v>
      </c>
      <c r="K99" s="2">
        <v>0</v>
      </c>
      <c r="L99" s="1">
        <f t="shared" si="23"/>
        <v>7.1428571428571425E-2</v>
      </c>
      <c r="M99" s="1">
        <f t="shared" si="21"/>
        <v>0</v>
      </c>
      <c r="N99" s="2">
        <f t="shared" si="14"/>
        <v>30</v>
      </c>
      <c r="O99" t="s">
        <v>17</v>
      </c>
    </row>
    <row r="100" spans="3:15" x14ac:dyDescent="0.25">
      <c r="C100">
        <v>3</v>
      </c>
      <c r="D100" s="3">
        <f t="shared" si="24"/>
        <v>46061</v>
      </c>
      <c r="E100" s="3">
        <f t="shared" si="17"/>
        <v>46091</v>
      </c>
      <c r="F100" t="s">
        <v>7</v>
      </c>
      <c r="G100" t="s">
        <v>6</v>
      </c>
      <c r="I100" s="2">
        <v>134</v>
      </c>
      <c r="J100" s="2">
        <v>2</v>
      </c>
      <c r="K100" s="2">
        <v>0</v>
      </c>
      <c r="L100" s="1" t="str">
        <f t="shared" si="23"/>
        <v>NA</v>
      </c>
      <c r="M100" s="1">
        <f t="shared" si="21"/>
        <v>1.4925373134328358E-2</v>
      </c>
      <c r="N100" s="2">
        <f t="shared" si="14"/>
        <v>30</v>
      </c>
      <c r="O100" t="s">
        <v>17</v>
      </c>
    </row>
    <row r="101" spans="3:15" x14ac:dyDescent="0.25">
      <c r="C101">
        <v>4</v>
      </c>
      <c r="D101" s="3">
        <f t="shared" si="24"/>
        <v>46061</v>
      </c>
      <c r="E101" s="3">
        <f t="shared" si="17"/>
        <v>46091</v>
      </c>
      <c r="F101" t="s">
        <v>7</v>
      </c>
      <c r="G101" t="s">
        <v>10</v>
      </c>
      <c r="I101" s="2">
        <v>39</v>
      </c>
      <c r="J101" s="2">
        <v>0</v>
      </c>
      <c r="K101" s="2">
        <v>0</v>
      </c>
      <c r="L101" s="1" t="str">
        <f t="shared" si="23"/>
        <v>NA</v>
      </c>
      <c r="M101" s="1">
        <f t="shared" si="21"/>
        <v>0</v>
      </c>
      <c r="N101" s="2">
        <f t="shared" si="14"/>
        <v>30</v>
      </c>
      <c r="O101" t="s">
        <v>17</v>
      </c>
    </row>
    <row r="102" spans="3:15" x14ac:dyDescent="0.25">
      <c r="C102">
        <v>5</v>
      </c>
      <c r="D102" s="3">
        <f t="shared" si="24"/>
        <v>46061</v>
      </c>
      <c r="E102" s="3">
        <f t="shared" si="17"/>
        <v>46091</v>
      </c>
      <c r="F102" t="s">
        <v>0</v>
      </c>
      <c r="G102" t="s">
        <v>6</v>
      </c>
      <c r="H102" s="2">
        <v>52110</v>
      </c>
      <c r="I102" s="2">
        <v>695</v>
      </c>
      <c r="J102" s="2">
        <v>10</v>
      </c>
      <c r="K102" s="2">
        <v>0</v>
      </c>
      <c r="L102" s="1">
        <f t="shared" si="23"/>
        <v>1.3337171368259451E-2</v>
      </c>
      <c r="M102" s="1">
        <f t="shared" si="21"/>
        <v>1.4388489208633094E-2</v>
      </c>
      <c r="N102" s="2">
        <f t="shared" si="14"/>
        <v>30</v>
      </c>
      <c r="O102" t="s">
        <v>17</v>
      </c>
    </row>
    <row r="103" spans="3:15" x14ac:dyDescent="0.25">
      <c r="C103">
        <v>6</v>
      </c>
      <c r="D103" s="3">
        <f t="shared" si="24"/>
        <v>46061</v>
      </c>
      <c r="E103" s="3">
        <f t="shared" si="17"/>
        <v>46091</v>
      </c>
      <c r="F103" t="s">
        <v>0</v>
      </c>
      <c r="G103" t="s">
        <v>10</v>
      </c>
      <c r="H103" s="2">
        <v>72213</v>
      </c>
      <c r="I103" s="2">
        <v>203</v>
      </c>
      <c r="J103" s="2">
        <v>9</v>
      </c>
      <c r="K103" s="2">
        <v>0</v>
      </c>
      <c r="L103" s="1">
        <f t="shared" si="23"/>
        <v>2.8111281902150581E-3</v>
      </c>
      <c r="M103" s="1">
        <f t="shared" si="21"/>
        <v>4.4334975369458129E-2</v>
      </c>
      <c r="N103" s="2">
        <f t="shared" si="14"/>
        <v>30</v>
      </c>
      <c r="O103" t="s">
        <v>17</v>
      </c>
    </row>
    <row r="104" spans="3:15" x14ac:dyDescent="0.25">
      <c r="C104">
        <v>1</v>
      </c>
      <c r="D104" s="3">
        <f>D98+1</f>
        <v>46062</v>
      </c>
      <c r="E104" s="3">
        <f t="shared" si="17"/>
        <v>46092</v>
      </c>
      <c r="F104" t="s">
        <v>4</v>
      </c>
      <c r="G104" t="s">
        <v>6</v>
      </c>
      <c r="H104" s="2">
        <v>333</v>
      </c>
      <c r="I104" s="2">
        <v>21</v>
      </c>
      <c r="J104" s="2">
        <v>0</v>
      </c>
      <c r="K104" s="2">
        <v>0</v>
      </c>
      <c r="L104" s="1">
        <f t="shared" si="23"/>
        <v>6.3063063063063057E-2</v>
      </c>
      <c r="M104" s="1">
        <f t="shared" si="21"/>
        <v>0</v>
      </c>
      <c r="N104" s="2">
        <f t="shared" si="14"/>
        <v>30</v>
      </c>
      <c r="O104" t="s">
        <v>17</v>
      </c>
    </row>
    <row r="105" spans="3:15" x14ac:dyDescent="0.25">
      <c r="C105">
        <v>2</v>
      </c>
      <c r="D105" s="3">
        <f t="shared" ref="D105:D109" si="25">D104</f>
        <v>46062</v>
      </c>
      <c r="E105" s="3">
        <f t="shared" si="17"/>
        <v>46092</v>
      </c>
      <c r="F105" t="s">
        <v>4</v>
      </c>
      <c r="G105" t="s">
        <v>10</v>
      </c>
      <c r="H105" s="2">
        <v>25</v>
      </c>
      <c r="I105" s="2">
        <v>1</v>
      </c>
      <c r="J105" s="2">
        <v>0</v>
      </c>
      <c r="K105" s="2">
        <v>0</v>
      </c>
      <c r="L105" s="1">
        <f t="shared" si="23"/>
        <v>0.04</v>
      </c>
      <c r="M105" s="1">
        <f t="shared" si="21"/>
        <v>0</v>
      </c>
      <c r="N105" s="2">
        <f t="shared" si="14"/>
        <v>30</v>
      </c>
      <c r="O105" t="s">
        <v>17</v>
      </c>
    </row>
    <row r="106" spans="3:15" x14ac:dyDescent="0.25">
      <c r="C106">
        <v>3</v>
      </c>
      <c r="D106" s="3">
        <f t="shared" si="25"/>
        <v>46062</v>
      </c>
      <c r="E106" s="3">
        <f t="shared" si="17"/>
        <v>46092</v>
      </c>
      <c r="F106" t="s">
        <v>7</v>
      </c>
      <c r="G106" t="s">
        <v>6</v>
      </c>
      <c r="I106" s="2">
        <v>129</v>
      </c>
      <c r="J106" s="2">
        <v>2</v>
      </c>
      <c r="K106" s="2">
        <v>0</v>
      </c>
      <c r="L106" s="1" t="str">
        <f t="shared" si="23"/>
        <v>NA</v>
      </c>
      <c r="M106" s="1">
        <f t="shared" si="21"/>
        <v>1.5503875968992248E-2</v>
      </c>
      <c r="N106" s="2">
        <f t="shared" si="14"/>
        <v>30</v>
      </c>
      <c r="O106" t="s">
        <v>17</v>
      </c>
    </row>
    <row r="107" spans="3:15" x14ac:dyDescent="0.25">
      <c r="C107">
        <v>4</v>
      </c>
      <c r="D107" s="3">
        <f t="shared" si="25"/>
        <v>46062</v>
      </c>
      <c r="E107" s="3">
        <f t="shared" si="17"/>
        <v>46092</v>
      </c>
      <c r="F107" t="s">
        <v>7</v>
      </c>
      <c r="G107" t="s">
        <v>10</v>
      </c>
      <c r="I107" s="2">
        <v>34</v>
      </c>
      <c r="J107" s="2">
        <v>0</v>
      </c>
      <c r="K107" s="2">
        <v>0</v>
      </c>
      <c r="L107" s="1" t="str">
        <f t="shared" si="23"/>
        <v>NA</v>
      </c>
      <c r="M107" s="1">
        <f t="shared" si="21"/>
        <v>0</v>
      </c>
      <c r="N107" s="2">
        <f t="shared" si="14"/>
        <v>30</v>
      </c>
      <c r="O107" t="s">
        <v>17</v>
      </c>
    </row>
    <row r="108" spans="3:15" x14ac:dyDescent="0.25">
      <c r="C108">
        <v>5</v>
      </c>
      <c r="D108" s="3">
        <f t="shared" si="25"/>
        <v>46062</v>
      </c>
      <c r="E108" s="3">
        <f t="shared" si="17"/>
        <v>46092</v>
      </c>
      <c r="F108" t="s">
        <v>0</v>
      </c>
      <c r="G108" t="s">
        <v>6</v>
      </c>
      <c r="H108" s="2">
        <v>52680</v>
      </c>
      <c r="I108" s="2">
        <v>689</v>
      </c>
      <c r="J108" s="2">
        <v>10</v>
      </c>
      <c r="K108" s="2">
        <v>0</v>
      </c>
      <c r="L108" s="1">
        <f t="shared" si="23"/>
        <v>1.3078967350037964E-2</v>
      </c>
      <c r="M108" s="1">
        <f t="shared" si="21"/>
        <v>1.4513788098693759E-2</v>
      </c>
      <c r="N108" s="2">
        <f t="shared" si="14"/>
        <v>30</v>
      </c>
      <c r="O108" t="s">
        <v>17</v>
      </c>
    </row>
    <row r="109" spans="3:15" x14ac:dyDescent="0.25">
      <c r="C109">
        <v>6</v>
      </c>
      <c r="D109" s="3">
        <f t="shared" si="25"/>
        <v>46062</v>
      </c>
      <c r="E109" s="3">
        <f t="shared" si="17"/>
        <v>46092</v>
      </c>
      <c r="F109" t="s">
        <v>0</v>
      </c>
      <c r="G109" t="s">
        <v>10</v>
      </c>
      <c r="H109" s="2">
        <v>67545</v>
      </c>
      <c r="I109" s="2">
        <v>194</v>
      </c>
      <c r="J109" s="2">
        <v>9</v>
      </c>
      <c r="K109" s="2">
        <v>0</v>
      </c>
      <c r="L109" s="1">
        <f t="shared" si="23"/>
        <v>2.8721593012066031E-3</v>
      </c>
      <c r="M109" s="1">
        <f t="shared" si="21"/>
        <v>4.6391752577319589E-2</v>
      </c>
      <c r="N109" s="2">
        <f t="shared" si="14"/>
        <v>30</v>
      </c>
      <c r="O109" t="s">
        <v>17</v>
      </c>
    </row>
    <row r="110" spans="3:15" x14ac:dyDescent="0.25">
      <c r="C110">
        <v>1</v>
      </c>
      <c r="D110" s="3">
        <f>D104+1</f>
        <v>46063</v>
      </c>
      <c r="E110" s="3">
        <f t="shared" si="17"/>
        <v>46093</v>
      </c>
      <c r="F110" t="s">
        <v>4</v>
      </c>
      <c r="G110" t="s">
        <v>6</v>
      </c>
      <c r="H110" s="2">
        <v>333</v>
      </c>
      <c r="I110" s="2">
        <v>18</v>
      </c>
      <c r="J110" s="2">
        <v>0</v>
      </c>
      <c r="K110" s="2">
        <v>0</v>
      </c>
      <c r="L110" s="1">
        <f t="shared" si="23"/>
        <v>5.4054054054054057E-2</v>
      </c>
      <c r="M110" s="1">
        <f t="shared" si="21"/>
        <v>0</v>
      </c>
      <c r="N110" s="2">
        <f t="shared" si="14"/>
        <v>30</v>
      </c>
      <c r="O110" t="s">
        <v>17</v>
      </c>
    </row>
    <row r="111" spans="3:15" x14ac:dyDescent="0.25">
      <c r="C111">
        <v>2</v>
      </c>
      <c r="D111" s="3">
        <f t="shared" ref="D111:D115" si="26">D110</f>
        <v>46063</v>
      </c>
      <c r="E111" s="3">
        <f t="shared" si="17"/>
        <v>46093</v>
      </c>
      <c r="F111" t="s">
        <v>4</v>
      </c>
      <c r="G111" t="s">
        <v>10</v>
      </c>
      <c r="H111" s="2">
        <v>26</v>
      </c>
      <c r="I111" s="2">
        <v>1</v>
      </c>
      <c r="J111" s="2">
        <v>0</v>
      </c>
      <c r="K111" s="2">
        <v>0</v>
      </c>
      <c r="L111" s="1">
        <f t="shared" si="20"/>
        <v>3.8461538461538464E-2</v>
      </c>
      <c r="M111" s="1">
        <f t="shared" si="21"/>
        <v>0</v>
      </c>
      <c r="N111" s="2">
        <f t="shared" si="14"/>
        <v>30</v>
      </c>
      <c r="O111" t="s">
        <v>17</v>
      </c>
    </row>
    <row r="112" spans="3:15" x14ac:dyDescent="0.25">
      <c r="C112">
        <v>3</v>
      </c>
      <c r="D112" s="3">
        <f t="shared" si="26"/>
        <v>46063</v>
      </c>
      <c r="E112" s="3">
        <f t="shared" si="17"/>
        <v>46093</v>
      </c>
      <c r="F112" t="s">
        <v>7</v>
      </c>
      <c r="G112" t="s">
        <v>6</v>
      </c>
      <c r="I112" s="2">
        <v>135</v>
      </c>
      <c r="J112" s="2">
        <v>2</v>
      </c>
      <c r="K112" s="2">
        <v>0</v>
      </c>
      <c r="L112" s="1" t="str">
        <f t="shared" si="20"/>
        <v>NA</v>
      </c>
      <c r="M112" s="1">
        <f t="shared" si="21"/>
        <v>1.4814814814814815E-2</v>
      </c>
      <c r="N112" s="2">
        <f t="shared" si="14"/>
        <v>30</v>
      </c>
      <c r="O112" t="s">
        <v>17</v>
      </c>
    </row>
    <row r="113" spans="3:15" x14ac:dyDescent="0.25">
      <c r="C113">
        <v>4</v>
      </c>
      <c r="D113" s="3">
        <f t="shared" si="26"/>
        <v>46063</v>
      </c>
      <c r="E113" s="3">
        <f t="shared" si="17"/>
        <v>46093</v>
      </c>
      <c r="F113" t="s">
        <v>7</v>
      </c>
      <c r="G113" t="s">
        <v>10</v>
      </c>
      <c r="I113" s="2">
        <v>36</v>
      </c>
      <c r="J113" s="2">
        <v>0</v>
      </c>
      <c r="K113" s="2">
        <v>0</v>
      </c>
      <c r="L113" s="1" t="str">
        <f t="shared" si="20"/>
        <v>NA</v>
      </c>
      <c r="M113" s="1">
        <f t="shared" si="21"/>
        <v>0</v>
      </c>
      <c r="N113" s="2">
        <f t="shared" si="14"/>
        <v>30</v>
      </c>
      <c r="O113" t="s">
        <v>17</v>
      </c>
    </row>
    <row r="114" spans="3:15" x14ac:dyDescent="0.25">
      <c r="C114">
        <v>5</v>
      </c>
      <c r="D114" s="3">
        <f t="shared" si="26"/>
        <v>46063</v>
      </c>
      <c r="E114" s="3">
        <f t="shared" si="17"/>
        <v>46093</v>
      </c>
      <c r="F114" t="s">
        <v>0</v>
      </c>
      <c r="G114" t="s">
        <v>6</v>
      </c>
      <c r="H114" s="2">
        <v>52177</v>
      </c>
      <c r="I114" s="2">
        <v>659</v>
      </c>
      <c r="J114" s="2">
        <v>10</v>
      </c>
      <c r="K114" s="2">
        <v>0</v>
      </c>
      <c r="L114" s="1">
        <f t="shared" si="20"/>
        <v>1.2630086053241851E-2</v>
      </c>
      <c r="M114" s="1">
        <f t="shared" si="21"/>
        <v>1.5174506828528073E-2</v>
      </c>
      <c r="N114" s="2">
        <f t="shared" si="14"/>
        <v>30</v>
      </c>
      <c r="O114" t="s">
        <v>17</v>
      </c>
    </row>
    <row r="115" spans="3:15" x14ac:dyDescent="0.25">
      <c r="C115">
        <v>6</v>
      </c>
      <c r="D115" s="3">
        <f t="shared" si="26"/>
        <v>46063</v>
      </c>
      <c r="E115" s="3">
        <f t="shared" si="17"/>
        <v>46093</v>
      </c>
      <c r="F115" t="s">
        <v>0</v>
      </c>
      <c r="G115" t="s">
        <v>10</v>
      </c>
      <c r="H115" s="2">
        <v>6192</v>
      </c>
      <c r="I115" s="2">
        <v>170</v>
      </c>
      <c r="J115" s="2">
        <v>7</v>
      </c>
      <c r="K115" s="2">
        <v>0</v>
      </c>
      <c r="L115" s="1">
        <f t="shared" si="20"/>
        <v>2.7454780361757105E-2</v>
      </c>
      <c r="M115" s="1">
        <f t="shared" si="21"/>
        <v>4.1176470588235294E-2</v>
      </c>
      <c r="N115" s="2">
        <f t="shared" si="14"/>
        <v>30</v>
      </c>
      <c r="O115" t="s">
        <v>17</v>
      </c>
    </row>
    <row r="116" spans="3:15" x14ac:dyDescent="0.25">
      <c r="C116">
        <v>1</v>
      </c>
      <c r="D116" s="3">
        <f>D110+1</f>
        <v>46064</v>
      </c>
      <c r="E116" s="3">
        <f t="shared" si="17"/>
        <v>46094</v>
      </c>
      <c r="F116" t="s">
        <v>4</v>
      </c>
      <c r="G116" t="s">
        <v>6</v>
      </c>
      <c r="H116" s="2">
        <v>337</v>
      </c>
      <c r="I116" s="2">
        <v>19</v>
      </c>
      <c r="J116" s="2">
        <v>0</v>
      </c>
      <c r="K116" s="2">
        <v>0</v>
      </c>
      <c r="L116" s="1">
        <f t="shared" si="20"/>
        <v>5.637982195845697E-2</v>
      </c>
      <c r="M116" s="1">
        <f t="shared" si="21"/>
        <v>0</v>
      </c>
      <c r="N116" s="2">
        <f t="shared" si="14"/>
        <v>30</v>
      </c>
      <c r="O116" t="s">
        <v>17</v>
      </c>
    </row>
    <row r="117" spans="3:15" x14ac:dyDescent="0.25">
      <c r="C117">
        <v>2</v>
      </c>
      <c r="D117" s="3">
        <f t="shared" ref="D117:D121" si="27">D116</f>
        <v>46064</v>
      </c>
      <c r="E117" s="3">
        <f t="shared" si="17"/>
        <v>46094</v>
      </c>
      <c r="F117" t="s">
        <v>4</v>
      </c>
      <c r="G117" t="s">
        <v>10</v>
      </c>
      <c r="H117" s="2">
        <v>26</v>
      </c>
      <c r="I117" s="2">
        <v>1</v>
      </c>
      <c r="J117" s="2">
        <v>0</v>
      </c>
      <c r="K117" s="2">
        <v>0</v>
      </c>
      <c r="L117" s="1">
        <f t="shared" si="20"/>
        <v>3.8461538461538464E-2</v>
      </c>
      <c r="M117" s="1">
        <f t="shared" si="21"/>
        <v>0</v>
      </c>
      <c r="N117" s="2">
        <f t="shared" si="14"/>
        <v>30</v>
      </c>
      <c r="O117" t="s">
        <v>17</v>
      </c>
    </row>
    <row r="118" spans="3:15" x14ac:dyDescent="0.25">
      <c r="C118">
        <v>3</v>
      </c>
      <c r="D118" s="3">
        <f t="shared" si="27"/>
        <v>46064</v>
      </c>
      <c r="E118" s="3">
        <f t="shared" si="17"/>
        <v>46094</v>
      </c>
      <c r="F118" t="s">
        <v>7</v>
      </c>
      <c r="G118" t="s">
        <v>6</v>
      </c>
      <c r="I118" s="2">
        <v>112</v>
      </c>
      <c r="J118" s="2">
        <v>2</v>
      </c>
      <c r="K118" s="2">
        <v>0</v>
      </c>
      <c r="L118" s="1" t="str">
        <f t="shared" si="20"/>
        <v>NA</v>
      </c>
      <c r="M118" s="1">
        <f t="shared" si="21"/>
        <v>1.7857142857142856E-2</v>
      </c>
      <c r="N118" s="2">
        <f t="shared" si="14"/>
        <v>30</v>
      </c>
      <c r="O118" t="s">
        <v>17</v>
      </c>
    </row>
    <row r="119" spans="3:15" x14ac:dyDescent="0.25">
      <c r="C119">
        <v>4</v>
      </c>
      <c r="D119" s="3">
        <f t="shared" si="27"/>
        <v>46064</v>
      </c>
      <c r="E119" s="3">
        <f t="shared" si="17"/>
        <v>46094</v>
      </c>
      <c r="F119" t="s">
        <v>7</v>
      </c>
      <c r="G119" t="s">
        <v>10</v>
      </c>
      <c r="I119" s="2">
        <v>35</v>
      </c>
      <c r="J119" s="2">
        <v>0</v>
      </c>
      <c r="K119" s="2">
        <v>0</v>
      </c>
      <c r="L119" s="1" t="str">
        <f t="shared" si="20"/>
        <v>NA</v>
      </c>
      <c r="M119" s="1">
        <f t="shared" si="21"/>
        <v>0</v>
      </c>
      <c r="N119" s="2">
        <f t="shared" si="14"/>
        <v>30</v>
      </c>
      <c r="O119" t="s">
        <v>17</v>
      </c>
    </row>
    <row r="120" spans="3:15" x14ac:dyDescent="0.25">
      <c r="C120">
        <v>5</v>
      </c>
      <c r="D120" s="3">
        <f t="shared" si="27"/>
        <v>46064</v>
      </c>
      <c r="E120" s="3">
        <f t="shared" si="17"/>
        <v>46094</v>
      </c>
      <c r="F120" t="s">
        <v>0</v>
      </c>
      <c r="G120" t="s">
        <v>6</v>
      </c>
      <c r="H120" s="2">
        <v>53983</v>
      </c>
      <c r="I120" s="2">
        <v>671</v>
      </c>
      <c r="J120" s="2">
        <v>10</v>
      </c>
      <c r="K120" s="2">
        <v>0</v>
      </c>
      <c r="L120" s="1">
        <f t="shared" si="20"/>
        <v>1.2429839023396255E-2</v>
      </c>
      <c r="M120" s="1">
        <f t="shared" si="21"/>
        <v>1.4903129657228018E-2</v>
      </c>
      <c r="N120" s="2">
        <f t="shared" si="14"/>
        <v>30</v>
      </c>
      <c r="O120" t="s">
        <v>17</v>
      </c>
    </row>
    <row r="121" spans="3:15" x14ac:dyDescent="0.25">
      <c r="C121">
        <v>6</v>
      </c>
      <c r="D121" s="3">
        <f t="shared" si="27"/>
        <v>46064</v>
      </c>
      <c r="E121" s="3">
        <f t="shared" si="17"/>
        <v>46094</v>
      </c>
      <c r="F121" t="s">
        <v>0</v>
      </c>
      <c r="G121" t="s">
        <v>10</v>
      </c>
      <c r="H121" s="2">
        <v>63161</v>
      </c>
      <c r="I121" s="2">
        <v>174</v>
      </c>
      <c r="J121" s="2">
        <v>7</v>
      </c>
      <c r="K121" s="2">
        <v>0</v>
      </c>
      <c r="L121" s="1">
        <f t="shared" ref="L121:L184" si="28">IFERROR(I121/H121,"NA")</f>
        <v>2.7548645524928359E-3</v>
      </c>
      <c r="M121" s="1">
        <f t="shared" ref="M121:M184" si="29">IFERROR(J121/I121,0)</f>
        <v>4.0229885057471264E-2</v>
      </c>
      <c r="N121" s="2">
        <f t="shared" si="14"/>
        <v>30</v>
      </c>
      <c r="O121" t="s">
        <v>17</v>
      </c>
    </row>
    <row r="122" spans="3:15" x14ac:dyDescent="0.25">
      <c r="C122">
        <v>1</v>
      </c>
      <c r="D122" s="3">
        <f>D116+1</f>
        <v>46065</v>
      </c>
      <c r="E122" s="3">
        <f t="shared" si="17"/>
        <v>46095</v>
      </c>
      <c r="F122" t="s">
        <v>4</v>
      </c>
      <c r="G122" t="s">
        <v>6</v>
      </c>
      <c r="H122" s="2">
        <v>311</v>
      </c>
      <c r="I122" s="2">
        <v>19</v>
      </c>
      <c r="J122" s="2">
        <v>0</v>
      </c>
      <c r="K122" s="2">
        <v>0</v>
      </c>
      <c r="L122" s="1">
        <f t="shared" si="28"/>
        <v>6.1093247588424437E-2</v>
      </c>
      <c r="M122" s="1">
        <f t="shared" si="29"/>
        <v>0</v>
      </c>
      <c r="N122" s="2">
        <f t="shared" si="14"/>
        <v>30</v>
      </c>
      <c r="O122" t="s">
        <v>17</v>
      </c>
    </row>
    <row r="123" spans="3:15" x14ac:dyDescent="0.25">
      <c r="C123">
        <v>2</v>
      </c>
      <c r="D123" s="3">
        <f t="shared" ref="D123:D127" si="30">D122</f>
        <v>46065</v>
      </c>
      <c r="E123" s="3">
        <f t="shared" si="17"/>
        <v>46095</v>
      </c>
      <c r="F123" t="s">
        <v>4</v>
      </c>
      <c r="G123" t="s">
        <v>10</v>
      </c>
      <c r="H123" s="2">
        <v>24</v>
      </c>
      <c r="I123" s="2">
        <v>4</v>
      </c>
      <c r="J123" s="2">
        <v>0</v>
      </c>
      <c r="K123" s="2">
        <v>0</v>
      </c>
      <c r="L123" s="1">
        <f t="shared" si="28"/>
        <v>0.16666666666666666</v>
      </c>
      <c r="M123" s="1">
        <f t="shared" si="29"/>
        <v>0</v>
      </c>
      <c r="N123" s="2">
        <f t="shared" si="14"/>
        <v>30</v>
      </c>
      <c r="O123" t="s">
        <v>17</v>
      </c>
    </row>
    <row r="124" spans="3:15" x14ac:dyDescent="0.25">
      <c r="C124">
        <v>3</v>
      </c>
      <c r="D124" s="3">
        <f t="shared" si="30"/>
        <v>46065</v>
      </c>
      <c r="E124" s="3">
        <f t="shared" si="17"/>
        <v>46095</v>
      </c>
      <c r="F124" t="s">
        <v>7</v>
      </c>
      <c r="G124" t="s">
        <v>6</v>
      </c>
      <c r="I124" s="2">
        <v>123</v>
      </c>
      <c r="J124" s="2">
        <v>2</v>
      </c>
      <c r="K124" s="2">
        <v>0</v>
      </c>
      <c r="L124" s="1" t="str">
        <f t="shared" si="28"/>
        <v>NA</v>
      </c>
      <c r="M124" s="1">
        <f t="shared" si="29"/>
        <v>1.6260162601626018E-2</v>
      </c>
      <c r="N124" s="2">
        <f t="shared" si="14"/>
        <v>30</v>
      </c>
      <c r="O124" t="s">
        <v>17</v>
      </c>
    </row>
    <row r="125" spans="3:15" x14ac:dyDescent="0.25">
      <c r="C125">
        <v>4</v>
      </c>
      <c r="D125" s="3">
        <f t="shared" si="30"/>
        <v>46065</v>
      </c>
      <c r="E125" s="3">
        <f t="shared" si="17"/>
        <v>46095</v>
      </c>
      <c r="F125" t="s">
        <v>7</v>
      </c>
      <c r="G125" t="s">
        <v>10</v>
      </c>
      <c r="I125" s="2">
        <v>39</v>
      </c>
      <c r="J125" s="2">
        <v>0</v>
      </c>
      <c r="K125" s="2">
        <v>0</v>
      </c>
      <c r="L125" s="1" t="str">
        <f t="shared" si="28"/>
        <v>NA</v>
      </c>
      <c r="M125" s="1">
        <f t="shared" si="29"/>
        <v>0</v>
      </c>
      <c r="N125" s="2">
        <f t="shared" si="14"/>
        <v>30</v>
      </c>
      <c r="O125" t="s">
        <v>17</v>
      </c>
    </row>
    <row r="126" spans="3:15" x14ac:dyDescent="0.25">
      <c r="C126">
        <v>5</v>
      </c>
      <c r="D126" s="3">
        <f t="shared" si="30"/>
        <v>46065</v>
      </c>
      <c r="E126" s="3">
        <f t="shared" si="17"/>
        <v>46095</v>
      </c>
      <c r="F126" t="s">
        <v>0</v>
      </c>
      <c r="G126" t="s">
        <v>6</v>
      </c>
      <c r="H126" s="2">
        <v>55461</v>
      </c>
      <c r="I126" s="2">
        <v>682</v>
      </c>
      <c r="J126" s="2">
        <v>11</v>
      </c>
      <c r="K126" s="2">
        <v>0</v>
      </c>
      <c r="L126" s="1">
        <f t="shared" si="28"/>
        <v>1.2296929373794199E-2</v>
      </c>
      <c r="M126" s="1">
        <f t="shared" si="29"/>
        <v>1.6129032258064516E-2</v>
      </c>
      <c r="N126" s="2">
        <f t="shared" si="14"/>
        <v>30</v>
      </c>
      <c r="O126" t="s">
        <v>17</v>
      </c>
    </row>
    <row r="127" spans="3:15" x14ac:dyDescent="0.25">
      <c r="C127">
        <v>6</v>
      </c>
      <c r="D127" s="3">
        <f t="shared" si="30"/>
        <v>46065</v>
      </c>
      <c r="E127" s="3">
        <f t="shared" si="17"/>
        <v>46095</v>
      </c>
      <c r="F127" t="s">
        <v>0</v>
      </c>
      <c r="G127" t="s">
        <v>10</v>
      </c>
      <c r="H127" s="2">
        <v>62051</v>
      </c>
      <c r="I127" s="2">
        <v>171</v>
      </c>
      <c r="J127" s="2">
        <v>7</v>
      </c>
      <c r="K127" s="2">
        <v>0</v>
      </c>
      <c r="L127" s="1">
        <f t="shared" si="28"/>
        <v>2.7557976503198981E-3</v>
      </c>
      <c r="M127" s="1">
        <f t="shared" si="29"/>
        <v>4.0935672514619881E-2</v>
      </c>
      <c r="N127" s="2">
        <f t="shared" si="14"/>
        <v>30</v>
      </c>
      <c r="O127" t="s">
        <v>17</v>
      </c>
    </row>
    <row r="128" spans="3:15" x14ac:dyDescent="0.25">
      <c r="C128">
        <v>1</v>
      </c>
      <c r="D128" s="3">
        <f>D122+1</f>
        <v>46066</v>
      </c>
      <c r="E128" s="3">
        <f t="shared" si="17"/>
        <v>46096</v>
      </c>
      <c r="F128" t="s">
        <v>4</v>
      </c>
      <c r="G128" t="s">
        <v>6</v>
      </c>
      <c r="H128" s="2">
        <v>292</v>
      </c>
      <c r="I128" s="2">
        <v>18</v>
      </c>
      <c r="J128" s="2">
        <v>0</v>
      </c>
      <c r="K128" s="2">
        <v>0</v>
      </c>
      <c r="L128" s="1">
        <f t="shared" si="28"/>
        <v>6.1643835616438353E-2</v>
      </c>
      <c r="M128" s="1">
        <f t="shared" si="29"/>
        <v>0</v>
      </c>
      <c r="N128" s="2">
        <f t="shared" si="14"/>
        <v>30</v>
      </c>
      <c r="O128" t="s">
        <v>17</v>
      </c>
    </row>
    <row r="129" spans="3:15" x14ac:dyDescent="0.25">
      <c r="C129">
        <v>2</v>
      </c>
      <c r="D129" s="3">
        <f t="shared" ref="D129:D133" si="31">D128</f>
        <v>46066</v>
      </c>
      <c r="E129" s="3">
        <f t="shared" si="17"/>
        <v>46096</v>
      </c>
      <c r="F129" t="s">
        <v>4</v>
      </c>
      <c r="G129" t="s">
        <v>10</v>
      </c>
      <c r="H129" s="2">
        <v>26</v>
      </c>
      <c r="I129" s="2">
        <v>2</v>
      </c>
      <c r="J129" s="2">
        <v>0</v>
      </c>
      <c r="K129" s="2">
        <v>0</v>
      </c>
      <c r="L129" s="1">
        <f t="shared" si="28"/>
        <v>7.6923076923076927E-2</v>
      </c>
      <c r="M129" s="1">
        <f t="shared" si="29"/>
        <v>0</v>
      </c>
      <c r="N129" s="2">
        <f t="shared" si="14"/>
        <v>30</v>
      </c>
      <c r="O129" t="s">
        <v>17</v>
      </c>
    </row>
    <row r="130" spans="3:15" x14ac:dyDescent="0.25">
      <c r="C130">
        <v>3</v>
      </c>
      <c r="D130" s="3">
        <f t="shared" si="31"/>
        <v>46066</v>
      </c>
      <c r="E130" s="3">
        <f t="shared" si="17"/>
        <v>46096</v>
      </c>
      <c r="F130" t="s">
        <v>7</v>
      </c>
      <c r="G130" t="s">
        <v>6</v>
      </c>
      <c r="I130" s="2">
        <v>119</v>
      </c>
      <c r="J130" s="2">
        <v>1</v>
      </c>
      <c r="K130" s="2">
        <v>0</v>
      </c>
      <c r="L130" s="1" t="str">
        <f t="shared" si="28"/>
        <v>NA</v>
      </c>
      <c r="M130" s="1">
        <f t="shared" si="29"/>
        <v>8.4033613445378148E-3</v>
      </c>
      <c r="N130" s="2">
        <f t="shared" si="14"/>
        <v>30</v>
      </c>
      <c r="O130" t="s">
        <v>17</v>
      </c>
    </row>
    <row r="131" spans="3:15" x14ac:dyDescent="0.25">
      <c r="C131">
        <v>4</v>
      </c>
      <c r="D131" s="3">
        <f t="shared" si="31"/>
        <v>46066</v>
      </c>
      <c r="E131" s="3">
        <f t="shared" si="17"/>
        <v>46096</v>
      </c>
      <c r="F131" t="s">
        <v>7</v>
      </c>
      <c r="G131" t="s">
        <v>10</v>
      </c>
      <c r="I131" s="2">
        <v>35</v>
      </c>
      <c r="J131" s="2">
        <v>0</v>
      </c>
      <c r="K131" s="2">
        <v>0</v>
      </c>
      <c r="L131" s="1" t="str">
        <f t="shared" si="28"/>
        <v>NA</v>
      </c>
      <c r="M131" s="1">
        <f t="shared" si="29"/>
        <v>0</v>
      </c>
      <c r="N131" s="2">
        <f t="shared" ref="N131:N194" si="32">ABS(D131-E131)</f>
        <v>30</v>
      </c>
      <c r="O131" t="s">
        <v>17</v>
      </c>
    </row>
    <row r="132" spans="3:15" x14ac:dyDescent="0.25">
      <c r="C132">
        <v>5</v>
      </c>
      <c r="D132" s="3">
        <f t="shared" si="31"/>
        <v>46066</v>
      </c>
      <c r="E132" s="3">
        <f t="shared" si="17"/>
        <v>46096</v>
      </c>
      <c r="F132" t="s">
        <v>0</v>
      </c>
      <c r="G132" t="s">
        <v>6</v>
      </c>
      <c r="H132" s="2">
        <v>56045</v>
      </c>
      <c r="I132" s="2">
        <v>662</v>
      </c>
      <c r="J132" s="2">
        <v>11</v>
      </c>
      <c r="K132" s="2">
        <v>0</v>
      </c>
      <c r="L132" s="1">
        <f t="shared" si="28"/>
        <v>1.1811936836470693E-2</v>
      </c>
      <c r="M132" s="1">
        <f t="shared" si="29"/>
        <v>1.6616314199395771E-2</v>
      </c>
      <c r="N132" s="2">
        <f t="shared" si="32"/>
        <v>30</v>
      </c>
      <c r="O132" t="s">
        <v>17</v>
      </c>
    </row>
    <row r="133" spans="3:15" x14ac:dyDescent="0.25">
      <c r="C133">
        <v>6</v>
      </c>
      <c r="D133" s="3">
        <f t="shared" si="31"/>
        <v>46066</v>
      </c>
      <c r="E133" s="3">
        <f t="shared" si="17"/>
        <v>46096</v>
      </c>
      <c r="F133" t="s">
        <v>0</v>
      </c>
      <c r="G133" t="s">
        <v>10</v>
      </c>
      <c r="H133" s="2">
        <v>61181</v>
      </c>
      <c r="I133" s="2">
        <v>174</v>
      </c>
      <c r="J133" s="2">
        <v>7</v>
      </c>
      <c r="K133" s="2">
        <v>0</v>
      </c>
      <c r="L133" s="1">
        <f t="shared" si="28"/>
        <v>2.844020202350403E-3</v>
      </c>
      <c r="M133" s="1">
        <f t="shared" si="29"/>
        <v>4.0229885057471264E-2</v>
      </c>
      <c r="N133" s="2">
        <f t="shared" si="32"/>
        <v>30</v>
      </c>
      <c r="O133" t="s">
        <v>17</v>
      </c>
    </row>
    <row r="134" spans="3:15" x14ac:dyDescent="0.25">
      <c r="C134">
        <v>1</v>
      </c>
      <c r="D134" s="3">
        <f>D128+1</f>
        <v>46067</v>
      </c>
      <c r="E134" s="3">
        <f t="shared" si="17"/>
        <v>46097</v>
      </c>
      <c r="F134" t="s">
        <v>4</v>
      </c>
      <c r="G134" t="s">
        <v>6</v>
      </c>
      <c r="L134" s="1" t="str">
        <f t="shared" si="28"/>
        <v>NA</v>
      </c>
      <c r="M134" s="1">
        <f t="shared" si="29"/>
        <v>0</v>
      </c>
      <c r="N134" s="2">
        <f t="shared" si="32"/>
        <v>30</v>
      </c>
    </row>
    <row r="135" spans="3:15" x14ac:dyDescent="0.25">
      <c r="C135">
        <v>2</v>
      </c>
      <c r="D135" s="3">
        <f t="shared" ref="D135:D139" si="33">D134</f>
        <v>46067</v>
      </c>
      <c r="E135" s="3">
        <f t="shared" si="17"/>
        <v>46097</v>
      </c>
      <c r="F135" t="s">
        <v>4</v>
      </c>
      <c r="G135" t="s">
        <v>10</v>
      </c>
      <c r="L135" s="1" t="str">
        <f t="shared" si="28"/>
        <v>NA</v>
      </c>
      <c r="M135" s="1">
        <f t="shared" si="29"/>
        <v>0</v>
      </c>
      <c r="N135" s="2">
        <f t="shared" si="32"/>
        <v>30</v>
      </c>
    </row>
    <row r="136" spans="3:15" x14ac:dyDescent="0.25">
      <c r="C136">
        <v>3</v>
      </c>
      <c r="D136" s="3">
        <f t="shared" si="33"/>
        <v>46067</v>
      </c>
      <c r="E136" s="3">
        <f t="shared" si="17"/>
        <v>46097</v>
      </c>
      <c r="F136" t="s">
        <v>7</v>
      </c>
      <c r="G136" t="s">
        <v>6</v>
      </c>
      <c r="L136" s="1" t="str">
        <f t="shared" si="28"/>
        <v>NA</v>
      </c>
      <c r="M136" s="1">
        <f t="shared" si="29"/>
        <v>0</v>
      </c>
      <c r="N136" s="2">
        <f t="shared" si="32"/>
        <v>30</v>
      </c>
    </row>
    <row r="137" spans="3:15" x14ac:dyDescent="0.25">
      <c r="C137">
        <v>4</v>
      </c>
      <c r="D137" s="3">
        <f t="shared" si="33"/>
        <v>46067</v>
      </c>
      <c r="E137" s="3">
        <f t="shared" si="17"/>
        <v>46097</v>
      </c>
      <c r="F137" t="s">
        <v>7</v>
      </c>
      <c r="G137" t="s">
        <v>10</v>
      </c>
      <c r="L137" s="1" t="str">
        <f t="shared" si="28"/>
        <v>NA</v>
      </c>
      <c r="M137" s="1">
        <f t="shared" si="29"/>
        <v>0</v>
      </c>
      <c r="N137" s="2">
        <f t="shared" si="32"/>
        <v>30</v>
      </c>
    </row>
    <row r="138" spans="3:15" x14ac:dyDescent="0.25">
      <c r="C138">
        <v>5</v>
      </c>
      <c r="D138" s="3">
        <f t="shared" si="33"/>
        <v>46067</v>
      </c>
      <c r="E138" s="3">
        <f t="shared" si="17"/>
        <v>46097</v>
      </c>
      <c r="F138" t="s">
        <v>0</v>
      </c>
      <c r="G138" t="s">
        <v>6</v>
      </c>
      <c r="L138" s="1" t="str">
        <f t="shared" si="28"/>
        <v>NA</v>
      </c>
      <c r="M138" s="1">
        <f t="shared" si="29"/>
        <v>0</v>
      </c>
      <c r="N138" s="2">
        <f t="shared" si="32"/>
        <v>30</v>
      </c>
    </row>
    <row r="139" spans="3:15" x14ac:dyDescent="0.25">
      <c r="C139">
        <v>6</v>
      </c>
      <c r="D139" s="3">
        <f t="shared" si="33"/>
        <v>46067</v>
      </c>
      <c r="E139" s="3">
        <f t="shared" si="17"/>
        <v>46097</v>
      </c>
      <c r="F139" t="s">
        <v>0</v>
      </c>
      <c r="G139" t="s">
        <v>10</v>
      </c>
      <c r="L139" s="1" t="str">
        <f t="shared" si="28"/>
        <v>NA</v>
      </c>
      <c r="M139" s="1">
        <f t="shared" si="29"/>
        <v>0</v>
      </c>
      <c r="N139" s="2">
        <f t="shared" si="32"/>
        <v>30</v>
      </c>
    </row>
    <row r="140" spans="3:15" x14ac:dyDescent="0.25">
      <c r="C140">
        <v>1</v>
      </c>
      <c r="D140" s="3">
        <f>D134+1</f>
        <v>46068</v>
      </c>
      <c r="E140" s="3">
        <f t="shared" si="17"/>
        <v>46098</v>
      </c>
      <c r="F140" t="s">
        <v>4</v>
      </c>
      <c r="G140" t="s">
        <v>6</v>
      </c>
      <c r="L140" s="1" t="str">
        <f t="shared" si="28"/>
        <v>NA</v>
      </c>
      <c r="M140" s="1">
        <f t="shared" si="29"/>
        <v>0</v>
      </c>
      <c r="N140" s="2">
        <f t="shared" si="32"/>
        <v>30</v>
      </c>
    </row>
    <row r="141" spans="3:15" x14ac:dyDescent="0.25">
      <c r="C141">
        <v>2</v>
      </c>
      <c r="D141" s="3">
        <f t="shared" ref="D141:D145" si="34">D140</f>
        <v>46068</v>
      </c>
      <c r="E141" s="3">
        <f t="shared" si="17"/>
        <v>46098</v>
      </c>
      <c r="F141" t="s">
        <v>4</v>
      </c>
      <c r="G141" t="s">
        <v>10</v>
      </c>
      <c r="L141" s="1" t="str">
        <f t="shared" si="28"/>
        <v>NA</v>
      </c>
      <c r="M141" s="1">
        <f t="shared" si="29"/>
        <v>0</v>
      </c>
      <c r="N141" s="2">
        <f t="shared" si="32"/>
        <v>30</v>
      </c>
    </row>
    <row r="142" spans="3:15" x14ac:dyDescent="0.25">
      <c r="C142">
        <v>3</v>
      </c>
      <c r="D142" s="3">
        <f t="shared" si="34"/>
        <v>46068</v>
      </c>
      <c r="E142" s="3">
        <f t="shared" si="17"/>
        <v>46098</v>
      </c>
      <c r="F142" t="s">
        <v>7</v>
      </c>
      <c r="G142" t="s">
        <v>6</v>
      </c>
      <c r="L142" s="1" t="str">
        <f t="shared" si="28"/>
        <v>NA</v>
      </c>
      <c r="M142" s="1">
        <f t="shared" si="29"/>
        <v>0</v>
      </c>
      <c r="N142" s="2">
        <f t="shared" si="32"/>
        <v>30</v>
      </c>
    </row>
    <row r="143" spans="3:15" x14ac:dyDescent="0.25">
      <c r="C143">
        <v>4</v>
      </c>
      <c r="D143" s="3">
        <f t="shared" si="34"/>
        <v>46068</v>
      </c>
      <c r="E143" s="3">
        <f t="shared" ref="E143:E206" si="35">D143+30</f>
        <v>46098</v>
      </c>
      <c r="F143" t="s">
        <v>7</v>
      </c>
      <c r="G143" t="s">
        <v>10</v>
      </c>
      <c r="L143" s="1" t="str">
        <f t="shared" si="28"/>
        <v>NA</v>
      </c>
      <c r="M143" s="1">
        <f t="shared" si="29"/>
        <v>0</v>
      </c>
      <c r="N143" s="2">
        <f t="shared" si="32"/>
        <v>30</v>
      </c>
    </row>
    <row r="144" spans="3:15" x14ac:dyDescent="0.25">
      <c r="C144">
        <v>5</v>
      </c>
      <c r="D144" s="3">
        <f t="shared" si="34"/>
        <v>46068</v>
      </c>
      <c r="E144" s="3">
        <f t="shared" si="35"/>
        <v>46098</v>
      </c>
      <c r="F144" t="s">
        <v>0</v>
      </c>
      <c r="G144" t="s">
        <v>6</v>
      </c>
      <c r="L144" s="1" t="str">
        <f t="shared" si="28"/>
        <v>NA</v>
      </c>
      <c r="M144" s="1">
        <f t="shared" si="29"/>
        <v>0</v>
      </c>
      <c r="N144" s="2">
        <f t="shared" si="32"/>
        <v>30</v>
      </c>
    </row>
    <row r="145" spans="3:14" x14ac:dyDescent="0.25">
      <c r="C145">
        <v>6</v>
      </c>
      <c r="D145" s="3">
        <f t="shared" si="34"/>
        <v>46068</v>
      </c>
      <c r="E145" s="3">
        <f t="shared" si="35"/>
        <v>46098</v>
      </c>
      <c r="F145" t="s">
        <v>0</v>
      </c>
      <c r="G145" t="s">
        <v>10</v>
      </c>
      <c r="L145" s="1" t="str">
        <f t="shared" si="28"/>
        <v>NA</v>
      </c>
      <c r="M145" s="1">
        <f t="shared" si="29"/>
        <v>0</v>
      </c>
      <c r="N145" s="2">
        <f t="shared" si="32"/>
        <v>30</v>
      </c>
    </row>
    <row r="146" spans="3:14" x14ac:dyDescent="0.25">
      <c r="C146">
        <v>1</v>
      </c>
      <c r="D146" s="3">
        <f>D140+1</f>
        <v>46069</v>
      </c>
      <c r="E146" s="3">
        <f t="shared" si="35"/>
        <v>46099</v>
      </c>
      <c r="F146" t="s">
        <v>4</v>
      </c>
      <c r="G146" t="s">
        <v>6</v>
      </c>
      <c r="L146" s="1" t="str">
        <f t="shared" si="28"/>
        <v>NA</v>
      </c>
      <c r="M146" s="1">
        <f t="shared" si="29"/>
        <v>0</v>
      </c>
      <c r="N146" s="2">
        <f t="shared" si="32"/>
        <v>30</v>
      </c>
    </row>
    <row r="147" spans="3:14" x14ac:dyDescent="0.25">
      <c r="C147">
        <v>2</v>
      </c>
      <c r="D147" s="3">
        <f t="shared" ref="D147:D151" si="36">D146</f>
        <v>46069</v>
      </c>
      <c r="E147" s="3">
        <f t="shared" si="35"/>
        <v>46099</v>
      </c>
      <c r="F147" t="s">
        <v>4</v>
      </c>
      <c r="G147" t="s">
        <v>10</v>
      </c>
      <c r="L147" s="1" t="str">
        <f t="shared" si="28"/>
        <v>NA</v>
      </c>
      <c r="M147" s="1">
        <f t="shared" si="29"/>
        <v>0</v>
      </c>
      <c r="N147" s="2">
        <f t="shared" si="32"/>
        <v>30</v>
      </c>
    </row>
    <row r="148" spans="3:14" x14ac:dyDescent="0.25">
      <c r="C148">
        <v>3</v>
      </c>
      <c r="D148" s="3">
        <f t="shared" si="36"/>
        <v>46069</v>
      </c>
      <c r="E148" s="3">
        <f t="shared" si="35"/>
        <v>46099</v>
      </c>
      <c r="F148" t="s">
        <v>7</v>
      </c>
      <c r="G148" t="s">
        <v>6</v>
      </c>
      <c r="L148" s="1" t="str">
        <f t="shared" si="28"/>
        <v>NA</v>
      </c>
      <c r="M148" s="1">
        <f t="shared" si="29"/>
        <v>0</v>
      </c>
      <c r="N148" s="2">
        <f t="shared" si="32"/>
        <v>30</v>
      </c>
    </row>
    <row r="149" spans="3:14" x14ac:dyDescent="0.25">
      <c r="C149">
        <v>4</v>
      </c>
      <c r="D149" s="3">
        <f t="shared" si="36"/>
        <v>46069</v>
      </c>
      <c r="E149" s="3">
        <f t="shared" si="35"/>
        <v>46099</v>
      </c>
      <c r="F149" t="s">
        <v>7</v>
      </c>
      <c r="G149" t="s">
        <v>10</v>
      </c>
      <c r="L149" s="1" t="str">
        <f t="shared" si="28"/>
        <v>NA</v>
      </c>
      <c r="M149" s="1">
        <f t="shared" si="29"/>
        <v>0</v>
      </c>
      <c r="N149" s="2">
        <f t="shared" si="32"/>
        <v>30</v>
      </c>
    </row>
    <row r="150" spans="3:14" x14ac:dyDescent="0.25">
      <c r="C150">
        <v>5</v>
      </c>
      <c r="D150" s="3">
        <f t="shared" si="36"/>
        <v>46069</v>
      </c>
      <c r="E150" s="3">
        <f t="shared" si="35"/>
        <v>46099</v>
      </c>
      <c r="F150" t="s">
        <v>0</v>
      </c>
      <c r="G150" t="s">
        <v>6</v>
      </c>
      <c r="L150" s="1" t="str">
        <f t="shared" si="28"/>
        <v>NA</v>
      </c>
      <c r="M150" s="1">
        <f t="shared" si="29"/>
        <v>0</v>
      </c>
      <c r="N150" s="2">
        <f t="shared" si="32"/>
        <v>30</v>
      </c>
    </row>
    <row r="151" spans="3:14" x14ac:dyDescent="0.25">
      <c r="C151">
        <v>6</v>
      </c>
      <c r="D151" s="3">
        <f t="shared" si="36"/>
        <v>46069</v>
      </c>
      <c r="E151" s="3">
        <f t="shared" si="35"/>
        <v>46099</v>
      </c>
      <c r="F151" t="s">
        <v>0</v>
      </c>
      <c r="G151" t="s">
        <v>10</v>
      </c>
      <c r="L151" s="1" t="str">
        <f t="shared" si="28"/>
        <v>NA</v>
      </c>
      <c r="M151" s="1">
        <f t="shared" si="29"/>
        <v>0</v>
      </c>
      <c r="N151" s="2">
        <f t="shared" si="32"/>
        <v>30</v>
      </c>
    </row>
    <row r="152" spans="3:14" x14ac:dyDescent="0.25">
      <c r="C152">
        <v>1</v>
      </c>
      <c r="D152" s="3">
        <f>D146+1</f>
        <v>46070</v>
      </c>
      <c r="E152" s="3">
        <f t="shared" si="35"/>
        <v>46100</v>
      </c>
      <c r="F152" t="s">
        <v>4</v>
      </c>
      <c r="G152" t="s">
        <v>6</v>
      </c>
      <c r="L152" s="1" t="str">
        <f t="shared" si="28"/>
        <v>NA</v>
      </c>
      <c r="M152" s="1">
        <f t="shared" si="29"/>
        <v>0</v>
      </c>
      <c r="N152" s="2">
        <f t="shared" si="32"/>
        <v>30</v>
      </c>
    </row>
    <row r="153" spans="3:14" x14ac:dyDescent="0.25">
      <c r="C153">
        <v>2</v>
      </c>
      <c r="D153" s="3">
        <f t="shared" ref="D153:D157" si="37">D152</f>
        <v>46070</v>
      </c>
      <c r="E153" s="3">
        <f t="shared" si="35"/>
        <v>46100</v>
      </c>
      <c r="F153" t="s">
        <v>4</v>
      </c>
      <c r="G153" t="s">
        <v>10</v>
      </c>
      <c r="L153" s="1" t="str">
        <f t="shared" si="28"/>
        <v>NA</v>
      </c>
      <c r="M153" s="1">
        <f t="shared" si="29"/>
        <v>0</v>
      </c>
      <c r="N153" s="2">
        <f t="shared" si="32"/>
        <v>30</v>
      </c>
    </row>
    <row r="154" spans="3:14" x14ac:dyDescent="0.25">
      <c r="C154">
        <v>3</v>
      </c>
      <c r="D154" s="3">
        <f t="shared" si="37"/>
        <v>46070</v>
      </c>
      <c r="E154" s="3">
        <f t="shared" si="35"/>
        <v>46100</v>
      </c>
      <c r="F154" t="s">
        <v>7</v>
      </c>
      <c r="G154" t="s">
        <v>6</v>
      </c>
      <c r="L154" s="1" t="str">
        <f t="shared" si="28"/>
        <v>NA</v>
      </c>
      <c r="M154" s="1">
        <f t="shared" si="29"/>
        <v>0</v>
      </c>
      <c r="N154" s="2">
        <f t="shared" si="32"/>
        <v>30</v>
      </c>
    </row>
    <row r="155" spans="3:14" x14ac:dyDescent="0.25">
      <c r="C155">
        <v>4</v>
      </c>
      <c r="D155" s="3">
        <f t="shared" si="37"/>
        <v>46070</v>
      </c>
      <c r="E155" s="3">
        <f t="shared" si="35"/>
        <v>46100</v>
      </c>
      <c r="F155" t="s">
        <v>7</v>
      </c>
      <c r="G155" t="s">
        <v>10</v>
      </c>
      <c r="L155" s="1" t="str">
        <f t="shared" si="28"/>
        <v>NA</v>
      </c>
      <c r="M155" s="1">
        <f t="shared" si="29"/>
        <v>0</v>
      </c>
      <c r="N155" s="2">
        <f t="shared" si="32"/>
        <v>30</v>
      </c>
    </row>
    <row r="156" spans="3:14" x14ac:dyDescent="0.25">
      <c r="C156">
        <v>5</v>
      </c>
      <c r="D156" s="3">
        <f t="shared" si="37"/>
        <v>46070</v>
      </c>
      <c r="E156" s="3">
        <f t="shared" si="35"/>
        <v>46100</v>
      </c>
      <c r="F156" t="s">
        <v>0</v>
      </c>
      <c r="G156" t="s">
        <v>6</v>
      </c>
      <c r="L156" s="1" t="str">
        <f t="shared" si="28"/>
        <v>NA</v>
      </c>
      <c r="M156" s="1">
        <f t="shared" si="29"/>
        <v>0</v>
      </c>
      <c r="N156" s="2">
        <f t="shared" si="32"/>
        <v>30</v>
      </c>
    </row>
    <row r="157" spans="3:14" x14ac:dyDescent="0.25">
      <c r="C157">
        <v>6</v>
      </c>
      <c r="D157" s="3">
        <f t="shared" si="37"/>
        <v>46070</v>
      </c>
      <c r="E157" s="3">
        <f t="shared" si="35"/>
        <v>46100</v>
      </c>
      <c r="F157" t="s">
        <v>0</v>
      </c>
      <c r="G157" t="s">
        <v>10</v>
      </c>
      <c r="L157" s="1" t="str">
        <f t="shared" si="28"/>
        <v>NA</v>
      </c>
      <c r="M157" s="1">
        <f t="shared" si="29"/>
        <v>0</v>
      </c>
      <c r="N157" s="2">
        <f t="shared" si="32"/>
        <v>30</v>
      </c>
    </row>
    <row r="158" spans="3:14" x14ac:dyDescent="0.25">
      <c r="C158">
        <v>1</v>
      </c>
      <c r="D158" s="3">
        <f>D152+1</f>
        <v>46071</v>
      </c>
      <c r="E158" s="3">
        <f t="shared" si="35"/>
        <v>46101</v>
      </c>
      <c r="F158" t="s">
        <v>4</v>
      </c>
      <c r="G158" t="s">
        <v>6</v>
      </c>
      <c r="L158" s="1" t="str">
        <f t="shared" si="28"/>
        <v>NA</v>
      </c>
      <c r="M158" s="1">
        <f t="shared" si="29"/>
        <v>0</v>
      </c>
      <c r="N158" s="2">
        <f t="shared" si="32"/>
        <v>30</v>
      </c>
    </row>
    <row r="159" spans="3:14" x14ac:dyDescent="0.25">
      <c r="C159">
        <v>2</v>
      </c>
      <c r="D159" s="3">
        <f t="shared" ref="D159:D163" si="38">D158</f>
        <v>46071</v>
      </c>
      <c r="E159" s="3">
        <f t="shared" si="35"/>
        <v>46101</v>
      </c>
      <c r="F159" t="s">
        <v>4</v>
      </c>
      <c r="G159" t="s">
        <v>10</v>
      </c>
      <c r="L159" s="1" t="str">
        <f t="shared" si="28"/>
        <v>NA</v>
      </c>
      <c r="M159" s="1">
        <f t="shared" si="29"/>
        <v>0</v>
      </c>
      <c r="N159" s="2">
        <f t="shared" si="32"/>
        <v>30</v>
      </c>
    </row>
    <row r="160" spans="3:14" x14ac:dyDescent="0.25">
      <c r="C160">
        <v>3</v>
      </c>
      <c r="D160" s="3">
        <f t="shared" si="38"/>
        <v>46071</v>
      </c>
      <c r="E160" s="3">
        <f t="shared" si="35"/>
        <v>46101</v>
      </c>
      <c r="F160" t="s">
        <v>7</v>
      </c>
      <c r="G160" t="s">
        <v>6</v>
      </c>
      <c r="L160" s="1" t="str">
        <f t="shared" si="28"/>
        <v>NA</v>
      </c>
      <c r="M160" s="1">
        <f t="shared" si="29"/>
        <v>0</v>
      </c>
      <c r="N160" s="2">
        <f t="shared" si="32"/>
        <v>30</v>
      </c>
    </row>
    <row r="161" spans="3:14" x14ac:dyDescent="0.25">
      <c r="C161">
        <v>4</v>
      </c>
      <c r="D161" s="3">
        <f t="shared" si="38"/>
        <v>46071</v>
      </c>
      <c r="E161" s="3">
        <f t="shared" si="35"/>
        <v>46101</v>
      </c>
      <c r="F161" t="s">
        <v>7</v>
      </c>
      <c r="G161" t="s">
        <v>10</v>
      </c>
      <c r="L161" s="1" t="str">
        <f t="shared" si="28"/>
        <v>NA</v>
      </c>
      <c r="M161" s="1">
        <f t="shared" si="29"/>
        <v>0</v>
      </c>
      <c r="N161" s="2">
        <f t="shared" si="32"/>
        <v>30</v>
      </c>
    </row>
    <row r="162" spans="3:14" x14ac:dyDescent="0.25">
      <c r="C162">
        <v>5</v>
      </c>
      <c r="D162" s="3">
        <f t="shared" si="38"/>
        <v>46071</v>
      </c>
      <c r="E162" s="3">
        <f t="shared" si="35"/>
        <v>46101</v>
      </c>
      <c r="F162" t="s">
        <v>0</v>
      </c>
      <c r="G162" t="s">
        <v>6</v>
      </c>
      <c r="L162" s="1" t="str">
        <f t="shared" si="28"/>
        <v>NA</v>
      </c>
      <c r="M162" s="1">
        <f t="shared" si="29"/>
        <v>0</v>
      </c>
      <c r="N162" s="2">
        <f t="shared" si="32"/>
        <v>30</v>
      </c>
    </row>
    <row r="163" spans="3:14" x14ac:dyDescent="0.25">
      <c r="C163">
        <v>6</v>
      </c>
      <c r="D163" s="3">
        <f t="shared" si="38"/>
        <v>46071</v>
      </c>
      <c r="E163" s="3">
        <f t="shared" si="35"/>
        <v>46101</v>
      </c>
      <c r="F163" t="s">
        <v>0</v>
      </c>
      <c r="G163" t="s">
        <v>10</v>
      </c>
      <c r="L163" s="1" t="str">
        <f t="shared" si="28"/>
        <v>NA</v>
      </c>
      <c r="M163" s="1">
        <f t="shared" si="29"/>
        <v>0</v>
      </c>
      <c r="N163" s="2">
        <f t="shared" si="32"/>
        <v>30</v>
      </c>
    </row>
    <row r="164" spans="3:14" x14ac:dyDescent="0.25">
      <c r="C164">
        <v>1</v>
      </c>
      <c r="D164" s="3">
        <f>D158+1</f>
        <v>46072</v>
      </c>
      <c r="E164" s="3">
        <f t="shared" si="35"/>
        <v>46102</v>
      </c>
      <c r="F164" t="s">
        <v>4</v>
      </c>
      <c r="G164" t="s">
        <v>6</v>
      </c>
      <c r="L164" s="1" t="str">
        <f t="shared" si="28"/>
        <v>NA</v>
      </c>
      <c r="M164" s="1">
        <f t="shared" si="29"/>
        <v>0</v>
      </c>
      <c r="N164" s="2">
        <f t="shared" si="32"/>
        <v>30</v>
      </c>
    </row>
    <row r="165" spans="3:14" x14ac:dyDescent="0.25">
      <c r="C165">
        <v>2</v>
      </c>
      <c r="D165" s="3">
        <f t="shared" ref="D165:D169" si="39">D164</f>
        <v>46072</v>
      </c>
      <c r="E165" s="3">
        <f t="shared" si="35"/>
        <v>46102</v>
      </c>
      <c r="F165" t="s">
        <v>4</v>
      </c>
      <c r="G165" t="s">
        <v>10</v>
      </c>
      <c r="L165" s="1" t="str">
        <f t="shared" si="28"/>
        <v>NA</v>
      </c>
      <c r="M165" s="1">
        <f t="shared" si="29"/>
        <v>0</v>
      </c>
      <c r="N165" s="2">
        <f t="shared" si="32"/>
        <v>30</v>
      </c>
    </row>
    <row r="166" spans="3:14" x14ac:dyDescent="0.25">
      <c r="C166">
        <v>3</v>
      </c>
      <c r="D166" s="3">
        <f t="shared" si="39"/>
        <v>46072</v>
      </c>
      <c r="E166" s="3">
        <f t="shared" si="35"/>
        <v>46102</v>
      </c>
      <c r="F166" t="s">
        <v>7</v>
      </c>
      <c r="G166" t="s">
        <v>6</v>
      </c>
      <c r="L166" s="1" t="str">
        <f t="shared" si="28"/>
        <v>NA</v>
      </c>
      <c r="M166" s="1">
        <f t="shared" si="29"/>
        <v>0</v>
      </c>
      <c r="N166" s="2">
        <f t="shared" si="32"/>
        <v>30</v>
      </c>
    </row>
    <row r="167" spans="3:14" x14ac:dyDescent="0.25">
      <c r="C167">
        <v>4</v>
      </c>
      <c r="D167" s="3">
        <f t="shared" si="39"/>
        <v>46072</v>
      </c>
      <c r="E167" s="3">
        <f t="shared" si="35"/>
        <v>46102</v>
      </c>
      <c r="F167" t="s">
        <v>7</v>
      </c>
      <c r="G167" t="s">
        <v>10</v>
      </c>
      <c r="L167" s="1" t="str">
        <f t="shared" si="28"/>
        <v>NA</v>
      </c>
      <c r="M167" s="1">
        <f t="shared" si="29"/>
        <v>0</v>
      </c>
      <c r="N167" s="2">
        <f t="shared" si="32"/>
        <v>30</v>
      </c>
    </row>
    <row r="168" spans="3:14" x14ac:dyDescent="0.25">
      <c r="C168">
        <v>5</v>
      </c>
      <c r="D168" s="3">
        <f t="shared" si="39"/>
        <v>46072</v>
      </c>
      <c r="E168" s="3">
        <f t="shared" si="35"/>
        <v>46102</v>
      </c>
      <c r="F168" t="s">
        <v>0</v>
      </c>
      <c r="G168" t="s">
        <v>6</v>
      </c>
      <c r="L168" s="1" t="str">
        <f t="shared" si="28"/>
        <v>NA</v>
      </c>
      <c r="M168" s="1">
        <f t="shared" si="29"/>
        <v>0</v>
      </c>
      <c r="N168" s="2">
        <f t="shared" si="32"/>
        <v>30</v>
      </c>
    </row>
    <row r="169" spans="3:14" x14ac:dyDescent="0.25">
      <c r="C169">
        <v>6</v>
      </c>
      <c r="D169" s="3">
        <f t="shared" si="39"/>
        <v>46072</v>
      </c>
      <c r="E169" s="3">
        <f t="shared" si="35"/>
        <v>46102</v>
      </c>
      <c r="F169" t="s">
        <v>0</v>
      </c>
      <c r="G169" t="s">
        <v>10</v>
      </c>
      <c r="L169" s="1" t="str">
        <f t="shared" si="28"/>
        <v>NA</v>
      </c>
      <c r="M169" s="1">
        <f t="shared" si="29"/>
        <v>0</v>
      </c>
      <c r="N169" s="2">
        <f t="shared" si="32"/>
        <v>30</v>
      </c>
    </row>
    <row r="170" spans="3:14" x14ac:dyDescent="0.25">
      <c r="C170">
        <v>1</v>
      </c>
      <c r="D170" s="3">
        <f>D164+1</f>
        <v>46073</v>
      </c>
      <c r="E170" s="3">
        <f t="shared" si="35"/>
        <v>46103</v>
      </c>
      <c r="F170" t="s">
        <v>4</v>
      </c>
      <c r="G170" t="s">
        <v>6</v>
      </c>
      <c r="L170" s="1" t="str">
        <f t="shared" si="28"/>
        <v>NA</v>
      </c>
      <c r="M170" s="1">
        <f t="shared" si="29"/>
        <v>0</v>
      </c>
      <c r="N170" s="2">
        <f t="shared" si="32"/>
        <v>30</v>
      </c>
    </row>
    <row r="171" spans="3:14" x14ac:dyDescent="0.25">
      <c r="C171">
        <v>2</v>
      </c>
      <c r="D171" s="3">
        <f t="shared" ref="D171:D175" si="40">D170</f>
        <v>46073</v>
      </c>
      <c r="E171" s="3">
        <f t="shared" si="35"/>
        <v>46103</v>
      </c>
      <c r="F171" t="s">
        <v>4</v>
      </c>
      <c r="G171" t="s">
        <v>10</v>
      </c>
      <c r="L171" s="1" t="str">
        <f t="shared" si="28"/>
        <v>NA</v>
      </c>
      <c r="M171" s="1">
        <f t="shared" si="29"/>
        <v>0</v>
      </c>
      <c r="N171" s="2">
        <f t="shared" si="32"/>
        <v>30</v>
      </c>
    </row>
    <row r="172" spans="3:14" x14ac:dyDescent="0.25">
      <c r="C172">
        <v>3</v>
      </c>
      <c r="D172" s="3">
        <f t="shared" si="40"/>
        <v>46073</v>
      </c>
      <c r="E172" s="3">
        <f t="shared" si="35"/>
        <v>46103</v>
      </c>
      <c r="F172" t="s">
        <v>7</v>
      </c>
      <c r="G172" t="s">
        <v>6</v>
      </c>
      <c r="L172" s="1" t="str">
        <f t="shared" si="28"/>
        <v>NA</v>
      </c>
      <c r="M172" s="1">
        <f t="shared" si="29"/>
        <v>0</v>
      </c>
      <c r="N172" s="2">
        <f t="shared" si="32"/>
        <v>30</v>
      </c>
    </row>
    <row r="173" spans="3:14" x14ac:dyDescent="0.25">
      <c r="C173">
        <v>4</v>
      </c>
      <c r="D173" s="3">
        <f t="shared" si="40"/>
        <v>46073</v>
      </c>
      <c r="E173" s="3">
        <f t="shared" si="35"/>
        <v>46103</v>
      </c>
      <c r="F173" t="s">
        <v>7</v>
      </c>
      <c r="G173" t="s">
        <v>10</v>
      </c>
      <c r="L173" s="1" t="str">
        <f t="shared" si="28"/>
        <v>NA</v>
      </c>
      <c r="M173" s="1">
        <f t="shared" si="29"/>
        <v>0</v>
      </c>
      <c r="N173" s="2">
        <f t="shared" si="32"/>
        <v>30</v>
      </c>
    </row>
    <row r="174" spans="3:14" x14ac:dyDescent="0.25">
      <c r="C174">
        <v>5</v>
      </c>
      <c r="D174" s="3">
        <f t="shared" si="40"/>
        <v>46073</v>
      </c>
      <c r="E174" s="3">
        <f t="shared" si="35"/>
        <v>46103</v>
      </c>
      <c r="F174" t="s">
        <v>0</v>
      </c>
      <c r="G174" t="s">
        <v>6</v>
      </c>
      <c r="L174" s="1" t="str">
        <f t="shared" si="28"/>
        <v>NA</v>
      </c>
      <c r="M174" s="1">
        <f t="shared" si="29"/>
        <v>0</v>
      </c>
      <c r="N174" s="2">
        <f t="shared" si="32"/>
        <v>30</v>
      </c>
    </row>
    <row r="175" spans="3:14" x14ac:dyDescent="0.25">
      <c r="C175">
        <v>6</v>
      </c>
      <c r="D175" s="3">
        <f t="shared" si="40"/>
        <v>46073</v>
      </c>
      <c r="E175" s="3">
        <f t="shared" si="35"/>
        <v>46103</v>
      </c>
      <c r="F175" t="s">
        <v>0</v>
      </c>
      <c r="G175" t="s">
        <v>10</v>
      </c>
      <c r="L175" s="1" t="str">
        <f t="shared" si="28"/>
        <v>NA</v>
      </c>
      <c r="M175" s="1">
        <f t="shared" si="29"/>
        <v>0</v>
      </c>
      <c r="N175" s="2">
        <f t="shared" si="32"/>
        <v>30</v>
      </c>
    </row>
    <row r="176" spans="3:14" x14ac:dyDescent="0.25">
      <c r="C176">
        <v>1</v>
      </c>
      <c r="D176" s="3">
        <f>D170+1</f>
        <v>46074</v>
      </c>
      <c r="E176" s="3">
        <f t="shared" si="35"/>
        <v>46104</v>
      </c>
      <c r="F176" t="s">
        <v>4</v>
      </c>
      <c r="G176" t="s">
        <v>6</v>
      </c>
      <c r="L176" s="1" t="str">
        <f t="shared" si="28"/>
        <v>NA</v>
      </c>
      <c r="M176" s="1">
        <f t="shared" si="29"/>
        <v>0</v>
      </c>
      <c r="N176" s="2">
        <f t="shared" si="32"/>
        <v>30</v>
      </c>
    </row>
    <row r="177" spans="3:14" x14ac:dyDescent="0.25">
      <c r="C177">
        <v>2</v>
      </c>
      <c r="D177" s="3">
        <f t="shared" ref="D177:D181" si="41">D176</f>
        <v>46074</v>
      </c>
      <c r="E177" s="3">
        <f t="shared" si="35"/>
        <v>46104</v>
      </c>
      <c r="F177" t="s">
        <v>4</v>
      </c>
      <c r="G177" t="s">
        <v>10</v>
      </c>
      <c r="L177" s="1" t="str">
        <f t="shared" si="28"/>
        <v>NA</v>
      </c>
      <c r="M177" s="1">
        <f t="shared" si="29"/>
        <v>0</v>
      </c>
      <c r="N177" s="2">
        <f t="shared" si="32"/>
        <v>30</v>
      </c>
    </row>
    <row r="178" spans="3:14" x14ac:dyDescent="0.25">
      <c r="C178">
        <v>3</v>
      </c>
      <c r="D178" s="3">
        <f t="shared" si="41"/>
        <v>46074</v>
      </c>
      <c r="E178" s="3">
        <f t="shared" si="35"/>
        <v>46104</v>
      </c>
      <c r="F178" t="s">
        <v>7</v>
      </c>
      <c r="G178" t="s">
        <v>6</v>
      </c>
      <c r="L178" s="1" t="str">
        <f t="shared" si="28"/>
        <v>NA</v>
      </c>
      <c r="M178" s="1">
        <f t="shared" si="29"/>
        <v>0</v>
      </c>
      <c r="N178" s="2">
        <f t="shared" si="32"/>
        <v>30</v>
      </c>
    </row>
    <row r="179" spans="3:14" x14ac:dyDescent="0.25">
      <c r="C179">
        <v>4</v>
      </c>
      <c r="D179" s="3">
        <f t="shared" si="41"/>
        <v>46074</v>
      </c>
      <c r="E179" s="3">
        <f t="shared" si="35"/>
        <v>46104</v>
      </c>
      <c r="F179" t="s">
        <v>7</v>
      </c>
      <c r="G179" t="s">
        <v>10</v>
      </c>
      <c r="L179" s="1" t="str">
        <f t="shared" si="28"/>
        <v>NA</v>
      </c>
      <c r="M179" s="1">
        <f t="shared" si="29"/>
        <v>0</v>
      </c>
      <c r="N179" s="2">
        <f t="shared" si="32"/>
        <v>30</v>
      </c>
    </row>
    <row r="180" spans="3:14" x14ac:dyDescent="0.25">
      <c r="C180">
        <v>5</v>
      </c>
      <c r="D180" s="3">
        <f t="shared" si="41"/>
        <v>46074</v>
      </c>
      <c r="E180" s="3">
        <f t="shared" si="35"/>
        <v>46104</v>
      </c>
      <c r="F180" t="s">
        <v>0</v>
      </c>
      <c r="G180" t="s">
        <v>6</v>
      </c>
      <c r="L180" s="1" t="str">
        <f t="shared" si="28"/>
        <v>NA</v>
      </c>
      <c r="M180" s="1">
        <f t="shared" si="29"/>
        <v>0</v>
      </c>
      <c r="N180" s="2">
        <f t="shared" si="32"/>
        <v>30</v>
      </c>
    </row>
    <row r="181" spans="3:14" x14ac:dyDescent="0.25">
      <c r="C181">
        <v>6</v>
      </c>
      <c r="D181" s="3">
        <f t="shared" si="41"/>
        <v>46074</v>
      </c>
      <c r="E181" s="3">
        <f t="shared" si="35"/>
        <v>46104</v>
      </c>
      <c r="F181" t="s">
        <v>0</v>
      </c>
      <c r="G181" t="s">
        <v>10</v>
      </c>
      <c r="L181" s="1" t="str">
        <f t="shared" si="28"/>
        <v>NA</v>
      </c>
      <c r="M181" s="1">
        <f t="shared" si="29"/>
        <v>0</v>
      </c>
      <c r="N181" s="2">
        <f t="shared" si="32"/>
        <v>30</v>
      </c>
    </row>
    <row r="182" spans="3:14" x14ac:dyDescent="0.25">
      <c r="C182">
        <v>1</v>
      </c>
      <c r="D182" s="3">
        <f>D176+1</f>
        <v>46075</v>
      </c>
      <c r="E182" s="3">
        <f t="shared" si="35"/>
        <v>46105</v>
      </c>
      <c r="F182" t="s">
        <v>4</v>
      </c>
      <c r="G182" t="s">
        <v>6</v>
      </c>
      <c r="L182" s="1" t="str">
        <f t="shared" si="28"/>
        <v>NA</v>
      </c>
      <c r="M182" s="1">
        <f t="shared" si="29"/>
        <v>0</v>
      </c>
      <c r="N182" s="2">
        <f t="shared" si="32"/>
        <v>30</v>
      </c>
    </row>
    <row r="183" spans="3:14" x14ac:dyDescent="0.25">
      <c r="C183">
        <v>2</v>
      </c>
      <c r="D183" s="3">
        <f t="shared" ref="D183:D187" si="42">D182</f>
        <v>46075</v>
      </c>
      <c r="E183" s="3">
        <f t="shared" si="35"/>
        <v>46105</v>
      </c>
      <c r="F183" t="s">
        <v>4</v>
      </c>
      <c r="G183" t="s">
        <v>10</v>
      </c>
      <c r="L183" s="1" t="str">
        <f t="shared" si="28"/>
        <v>NA</v>
      </c>
      <c r="M183" s="1">
        <f t="shared" si="29"/>
        <v>0</v>
      </c>
      <c r="N183" s="2">
        <f t="shared" si="32"/>
        <v>30</v>
      </c>
    </row>
    <row r="184" spans="3:14" x14ac:dyDescent="0.25">
      <c r="C184">
        <v>3</v>
      </c>
      <c r="D184" s="3">
        <f t="shared" si="42"/>
        <v>46075</v>
      </c>
      <c r="E184" s="3">
        <f t="shared" si="35"/>
        <v>46105</v>
      </c>
      <c r="F184" t="s">
        <v>7</v>
      </c>
      <c r="G184" t="s">
        <v>6</v>
      </c>
      <c r="L184" s="1" t="str">
        <f t="shared" si="28"/>
        <v>NA</v>
      </c>
      <c r="M184" s="1">
        <f t="shared" si="29"/>
        <v>0</v>
      </c>
      <c r="N184" s="2">
        <f t="shared" si="32"/>
        <v>30</v>
      </c>
    </row>
    <row r="185" spans="3:14" x14ac:dyDescent="0.25">
      <c r="C185">
        <v>4</v>
      </c>
      <c r="D185" s="3">
        <f t="shared" si="42"/>
        <v>46075</v>
      </c>
      <c r="E185" s="3">
        <f t="shared" si="35"/>
        <v>46105</v>
      </c>
      <c r="F185" t="s">
        <v>7</v>
      </c>
      <c r="G185" t="s">
        <v>10</v>
      </c>
      <c r="L185" s="1" t="str">
        <f t="shared" ref="L185:L248" si="43">IFERROR(I185/H185,"NA")</f>
        <v>NA</v>
      </c>
      <c r="M185" s="1">
        <f t="shared" ref="M185:M248" si="44">IFERROR(J185/I185,0)</f>
        <v>0</v>
      </c>
      <c r="N185" s="2">
        <f t="shared" si="32"/>
        <v>30</v>
      </c>
    </row>
    <row r="186" spans="3:14" x14ac:dyDescent="0.25">
      <c r="C186">
        <v>5</v>
      </c>
      <c r="D186" s="3">
        <f t="shared" si="42"/>
        <v>46075</v>
      </c>
      <c r="E186" s="3">
        <f t="shared" si="35"/>
        <v>46105</v>
      </c>
      <c r="F186" t="s">
        <v>0</v>
      </c>
      <c r="G186" t="s">
        <v>6</v>
      </c>
      <c r="L186" s="1" t="str">
        <f t="shared" si="43"/>
        <v>NA</v>
      </c>
      <c r="M186" s="1">
        <f t="shared" si="44"/>
        <v>0</v>
      </c>
      <c r="N186" s="2">
        <f t="shared" si="32"/>
        <v>30</v>
      </c>
    </row>
    <row r="187" spans="3:14" x14ac:dyDescent="0.25">
      <c r="C187">
        <v>6</v>
      </c>
      <c r="D187" s="3">
        <f t="shared" si="42"/>
        <v>46075</v>
      </c>
      <c r="E187" s="3">
        <f t="shared" si="35"/>
        <v>46105</v>
      </c>
      <c r="F187" t="s">
        <v>0</v>
      </c>
      <c r="G187" t="s">
        <v>10</v>
      </c>
      <c r="L187" s="1" t="str">
        <f t="shared" si="43"/>
        <v>NA</v>
      </c>
      <c r="M187" s="1">
        <f t="shared" si="44"/>
        <v>0</v>
      </c>
      <c r="N187" s="2">
        <f t="shared" si="32"/>
        <v>30</v>
      </c>
    </row>
    <row r="188" spans="3:14" x14ac:dyDescent="0.25">
      <c r="C188">
        <v>1</v>
      </c>
      <c r="D188" s="3">
        <f>D182+1</f>
        <v>46076</v>
      </c>
      <c r="E188" s="3">
        <f t="shared" si="35"/>
        <v>46106</v>
      </c>
      <c r="F188" t="s">
        <v>4</v>
      </c>
      <c r="G188" t="s">
        <v>6</v>
      </c>
      <c r="L188" s="1" t="str">
        <f t="shared" si="43"/>
        <v>NA</v>
      </c>
      <c r="M188" s="1">
        <f t="shared" si="44"/>
        <v>0</v>
      </c>
      <c r="N188" s="2">
        <f t="shared" si="32"/>
        <v>30</v>
      </c>
    </row>
    <row r="189" spans="3:14" x14ac:dyDescent="0.25">
      <c r="C189">
        <v>2</v>
      </c>
      <c r="D189" s="3">
        <f t="shared" ref="D189:D193" si="45">D188</f>
        <v>46076</v>
      </c>
      <c r="E189" s="3">
        <f t="shared" si="35"/>
        <v>46106</v>
      </c>
      <c r="F189" t="s">
        <v>4</v>
      </c>
      <c r="G189" t="s">
        <v>10</v>
      </c>
      <c r="L189" s="1" t="str">
        <f t="shared" si="43"/>
        <v>NA</v>
      </c>
      <c r="M189" s="1">
        <f t="shared" si="44"/>
        <v>0</v>
      </c>
      <c r="N189" s="2">
        <f t="shared" si="32"/>
        <v>30</v>
      </c>
    </row>
    <row r="190" spans="3:14" x14ac:dyDescent="0.25">
      <c r="C190">
        <v>3</v>
      </c>
      <c r="D190" s="3">
        <f t="shared" si="45"/>
        <v>46076</v>
      </c>
      <c r="E190" s="3">
        <f t="shared" si="35"/>
        <v>46106</v>
      </c>
      <c r="F190" t="s">
        <v>7</v>
      </c>
      <c r="G190" t="s">
        <v>6</v>
      </c>
      <c r="L190" s="1" t="str">
        <f t="shared" si="43"/>
        <v>NA</v>
      </c>
      <c r="M190" s="1">
        <f t="shared" si="44"/>
        <v>0</v>
      </c>
      <c r="N190" s="2">
        <f t="shared" si="32"/>
        <v>30</v>
      </c>
    </row>
    <row r="191" spans="3:14" x14ac:dyDescent="0.25">
      <c r="C191">
        <v>4</v>
      </c>
      <c r="D191" s="3">
        <f t="shared" si="45"/>
        <v>46076</v>
      </c>
      <c r="E191" s="3">
        <f t="shared" si="35"/>
        <v>46106</v>
      </c>
      <c r="F191" t="s">
        <v>7</v>
      </c>
      <c r="G191" t="s">
        <v>10</v>
      </c>
      <c r="L191" s="1" t="str">
        <f t="shared" si="43"/>
        <v>NA</v>
      </c>
      <c r="M191" s="1">
        <f t="shared" si="44"/>
        <v>0</v>
      </c>
      <c r="N191" s="2">
        <f t="shared" si="32"/>
        <v>30</v>
      </c>
    </row>
    <row r="192" spans="3:14" x14ac:dyDescent="0.25">
      <c r="C192">
        <v>5</v>
      </c>
      <c r="D192" s="3">
        <f t="shared" si="45"/>
        <v>46076</v>
      </c>
      <c r="E192" s="3">
        <f t="shared" si="35"/>
        <v>46106</v>
      </c>
      <c r="F192" t="s">
        <v>0</v>
      </c>
      <c r="G192" t="s">
        <v>6</v>
      </c>
      <c r="L192" s="1" t="str">
        <f t="shared" si="43"/>
        <v>NA</v>
      </c>
      <c r="M192" s="1">
        <f t="shared" si="44"/>
        <v>0</v>
      </c>
      <c r="N192" s="2">
        <f t="shared" si="32"/>
        <v>30</v>
      </c>
    </row>
    <row r="193" spans="3:14" x14ac:dyDescent="0.25">
      <c r="C193">
        <v>6</v>
      </c>
      <c r="D193" s="3">
        <f t="shared" si="45"/>
        <v>46076</v>
      </c>
      <c r="E193" s="3">
        <f t="shared" si="35"/>
        <v>46106</v>
      </c>
      <c r="F193" t="s">
        <v>0</v>
      </c>
      <c r="G193" t="s">
        <v>10</v>
      </c>
      <c r="L193" s="1" t="str">
        <f t="shared" si="43"/>
        <v>NA</v>
      </c>
      <c r="M193" s="1">
        <f t="shared" si="44"/>
        <v>0</v>
      </c>
      <c r="N193" s="2">
        <f t="shared" si="32"/>
        <v>30</v>
      </c>
    </row>
    <row r="194" spans="3:14" x14ac:dyDescent="0.25">
      <c r="C194">
        <v>1</v>
      </c>
      <c r="D194" s="3">
        <f>D188+1</f>
        <v>46077</v>
      </c>
      <c r="E194" s="3">
        <f t="shared" si="35"/>
        <v>46107</v>
      </c>
      <c r="F194" t="s">
        <v>4</v>
      </c>
      <c r="G194" t="s">
        <v>6</v>
      </c>
      <c r="L194" s="1" t="str">
        <f t="shared" si="43"/>
        <v>NA</v>
      </c>
      <c r="M194" s="1">
        <f t="shared" si="44"/>
        <v>0</v>
      </c>
      <c r="N194" s="2">
        <f t="shared" si="32"/>
        <v>30</v>
      </c>
    </row>
    <row r="195" spans="3:14" x14ac:dyDescent="0.25">
      <c r="C195">
        <v>2</v>
      </c>
      <c r="D195" s="3">
        <f t="shared" ref="D195:D199" si="46">D194</f>
        <v>46077</v>
      </c>
      <c r="E195" s="3">
        <f t="shared" si="35"/>
        <v>46107</v>
      </c>
      <c r="F195" t="s">
        <v>4</v>
      </c>
      <c r="G195" t="s">
        <v>10</v>
      </c>
      <c r="L195" s="1" t="str">
        <f t="shared" si="43"/>
        <v>NA</v>
      </c>
      <c r="M195" s="1">
        <f t="shared" si="44"/>
        <v>0</v>
      </c>
      <c r="N195" s="2">
        <f t="shared" ref="N195:N258" si="47">ABS(D195-E195)</f>
        <v>30</v>
      </c>
    </row>
    <row r="196" spans="3:14" x14ac:dyDescent="0.25">
      <c r="C196">
        <v>3</v>
      </c>
      <c r="D196" s="3">
        <f t="shared" si="46"/>
        <v>46077</v>
      </c>
      <c r="E196" s="3">
        <f t="shared" si="35"/>
        <v>46107</v>
      </c>
      <c r="F196" t="s">
        <v>7</v>
      </c>
      <c r="G196" t="s">
        <v>6</v>
      </c>
      <c r="L196" s="1" t="str">
        <f t="shared" si="43"/>
        <v>NA</v>
      </c>
      <c r="M196" s="1">
        <f t="shared" si="44"/>
        <v>0</v>
      </c>
      <c r="N196" s="2">
        <f t="shared" si="47"/>
        <v>30</v>
      </c>
    </row>
    <row r="197" spans="3:14" x14ac:dyDescent="0.25">
      <c r="C197">
        <v>4</v>
      </c>
      <c r="D197" s="3">
        <f t="shared" si="46"/>
        <v>46077</v>
      </c>
      <c r="E197" s="3">
        <f t="shared" si="35"/>
        <v>46107</v>
      </c>
      <c r="F197" t="s">
        <v>7</v>
      </c>
      <c r="G197" t="s">
        <v>10</v>
      </c>
      <c r="L197" s="1" t="str">
        <f t="shared" si="43"/>
        <v>NA</v>
      </c>
      <c r="M197" s="1">
        <f t="shared" si="44"/>
        <v>0</v>
      </c>
      <c r="N197" s="2">
        <f t="shared" si="47"/>
        <v>30</v>
      </c>
    </row>
    <row r="198" spans="3:14" x14ac:dyDescent="0.25">
      <c r="C198">
        <v>5</v>
      </c>
      <c r="D198" s="3">
        <f t="shared" si="46"/>
        <v>46077</v>
      </c>
      <c r="E198" s="3">
        <f t="shared" si="35"/>
        <v>46107</v>
      </c>
      <c r="F198" t="s">
        <v>0</v>
      </c>
      <c r="G198" t="s">
        <v>6</v>
      </c>
      <c r="L198" s="1" t="str">
        <f t="shared" si="43"/>
        <v>NA</v>
      </c>
      <c r="M198" s="1">
        <f t="shared" si="44"/>
        <v>0</v>
      </c>
      <c r="N198" s="2">
        <f t="shared" si="47"/>
        <v>30</v>
      </c>
    </row>
    <row r="199" spans="3:14" x14ac:dyDescent="0.25">
      <c r="C199">
        <v>6</v>
      </c>
      <c r="D199" s="3">
        <f t="shared" si="46"/>
        <v>46077</v>
      </c>
      <c r="E199" s="3">
        <f t="shared" si="35"/>
        <v>46107</v>
      </c>
      <c r="F199" t="s">
        <v>0</v>
      </c>
      <c r="G199" t="s">
        <v>10</v>
      </c>
      <c r="L199" s="1" t="str">
        <f t="shared" si="43"/>
        <v>NA</v>
      </c>
      <c r="M199" s="1">
        <f t="shared" si="44"/>
        <v>0</v>
      </c>
      <c r="N199" s="2">
        <f t="shared" si="47"/>
        <v>30</v>
      </c>
    </row>
    <row r="200" spans="3:14" x14ac:dyDescent="0.25">
      <c r="C200">
        <v>1</v>
      </c>
      <c r="D200" s="3">
        <f>D194+1</f>
        <v>46078</v>
      </c>
      <c r="E200" s="3">
        <f t="shared" si="35"/>
        <v>46108</v>
      </c>
      <c r="F200" t="s">
        <v>4</v>
      </c>
      <c r="G200" t="s">
        <v>6</v>
      </c>
      <c r="L200" s="1" t="str">
        <f t="shared" si="43"/>
        <v>NA</v>
      </c>
      <c r="M200" s="1">
        <f t="shared" si="44"/>
        <v>0</v>
      </c>
      <c r="N200" s="2">
        <f t="shared" si="47"/>
        <v>30</v>
      </c>
    </row>
    <row r="201" spans="3:14" x14ac:dyDescent="0.25">
      <c r="C201">
        <v>2</v>
      </c>
      <c r="D201" s="3">
        <f t="shared" ref="D201:D205" si="48">D200</f>
        <v>46078</v>
      </c>
      <c r="E201" s="3">
        <f t="shared" si="35"/>
        <v>46108</v>
      </c>
      <c r="F201" t="s">
        <v>4</v>
      </c>
      <c r="G201" t="s">
        <v>10</v>
      </c>
      <c r="L201" s="1" t="str">
        <f t="shared" si="43"/>
        <v>NA</v>
      </c>
      <c r="M201" s="1">
        <f t="shared" si="44"/>
        <v>0</v>
      </c>
      <c r="N201" s="2">
        <f t="shared" si="47"/>
        <v>30</v>
      </c>
    </row>
    <row r="202" spans="3:14" x14ac:dyDescent="0.25">
      <c r="C202">
        <v>3</v>
      </c>
      <c r="D202" s="3">
        <f t="shared" si="48"/>
        <v>46078</v>
      </c>
      <c r="E202" s="3">
        <f t="shared" si="35"/>
        <v>46108</v>
      </c>
      <c r="F202" t="s">
        <v>7</v>
      </c>
      <c r="G202" t="s">
        <v>6</v>
      </c>
      <c r="L202" s="1" t="str">
        <f t="shared" si="43"/>
        <v>NA</v>
      </c>
      <c r="M202" s="1">
        <f t="shared" si="44"/>
        <v>0</v>
      </c>
      <c r="N202" s="2">
        <f t="shared" si="47"/>
        <v>30</v>
      </c>
    </row>
    <row r="203" spans="3:14" x14ac:dyDescent="0.25">
      <c r="C203">
        <v>4</v>
      </c>
      <c r="D203" s="3">
        <f t="shared" si="48"/>
        <v>46078</v>
      </c>
      <c r="E203" s="3">
        <f t="shared" si="35"/>
        <v>46108</v>
      </c>
      <c r="F203" t="s">
        <v>7</v>
      </c>
      <c r="G203" t="s">
        <v>10</v>
      </c>
      <c r="L203" s="1" t="str">
        <f t="shared" si="43"/>
        <v>NA</v>
      </c>
      <c r="M203" s="1">
        <f t="shared" si="44"/>
        <v>0</v>
      </c>
      <c r="N203" s="2">
        <f t="shared" si="47"/>
        <v>30</v>
      </c>
    </row>
    <row r="204" spans="3:14" x14ac:dyDescent="0.25">
      <c r="C204">
        <v>5</v>
      </c>
      <c r="D204" s="3">
        <f t="shared" si="48"/>
        <v>46078</v>
      </c>
      <c r="E204" s="3">
        <f t="shared" si="35"/>
        <v>46108</v>
      </c>
      <c r="F204" t="s">
        <v>0</v>
      </c>
      <c r="G204" t="s">
        <v>6</v>
      </c>
      <c r="L204" s="1" t="str">
        <f t="shared" si="43"/>
        <v>NA</v>
      </c>
      <c r="M204" s="1">
        <f t="shared" si="44"/>
        <v>0</v>
      </c>
      <c r="N204" s="2">
        <f t="shared" si="47"/>
        <v>30</v>
      </c>
    </row>
    <row r="205" spans="3:14" x14ac:dyDescent="0.25">
      <c r="C205">
        <v>6</v>
      </c>
      <c r="D205" s="3">
        <f t="shared" si="48"/>
        <v>46078</v>
      </c>
      <c r="E205" s="3">
        <f t="shared" si="35"/>
        <v>46108</v>
      </c>
      <c r="F205" t="s">
        <v>0</v>
      </c>
      <c r="G205" t="s">
        <v>10</v>
      </c>
      <c r="L205" s="1" t="str">
        <f t="shared" si="43"/>
        <v>NA</v>
      </c>
      <c r="M205" s="1">
        <f t="shared" si="44"/>
        <v>0</v>
      </c>
      <c r="N205" s="2">
        <f t="shared" si="47"/>
        <v>30</v>
      </c>
    </row>
    <row r="206" spans="3:14" x14ac:dyDescent="0.25">
      <c r="C206">
        <v>1</v>
      </c>
      <c r="D206" s="3">
        <f>D200+1</f>
        <v>46079</v>
      </c>
      <c r="E206" s="3">
        <f t="shared" si="35"/>
        <v>46109</v>
      </c>
      <c r="F206" t="s">
        <v>4</v>
      </c>
      <c r="G206" t="s">
        <v>6</v>
      </c>
      <c r="L206" s="1" t="str">
        <f t="shared" si="43"/>
        <v>NA</v>
      </c>
      <c r="M206" s="1">
        <f t="shared" si="44"/>
        <v>0</v>
      </c>
      <c r="N206" s="2">
        <f t="shared" si="47"/>
        <v>30</v>
      </c>
    </row>
    <row r="207" spans="3:14" x14ac:dyDescent="0.25">
      <c r="C207">
        <v>2</v>
      </c>
      <c r="D207" s="3">
        <f t="shared" ref="D207:D211" si="49">D206</f>
        <v>46079</v>
      </c>
      <c r="E207" s="3">
        <f t="shared" ref="E207:E270" si="50">D207+30</f>
        <v>46109</v>
      </c>
      <c r="F207" t="s">
        <v>4</v>
      </c>
      <c r="G207" t="s">
        <v>10</v>
      </c>
      <c r="L207" s="1" t="str">
        <f t="shared" si="43"/>
        <v>NA</v>
      </c>
      <c r="M207" s="1">
        <f t="shared" si="44"/>
        <v>0</v>
      </c>
      <c r="N207" s="2">
        <f t="shared" si="47"/>
        <v>30</v>
      </c>
    </row>
    <row r="208" spans="3:14" x14ac:dyDescent="0.25">
      <c r="C208">
        <v>3</v>
      </c>
      <c r="D208" s="3">
        <f t="shared" si="49"/>
        <v>46079</v>
      </c>
      <c r="E208" s="3">
        <f t="shared" si="50"/>
        <v>46109</v>
      </c>
      <c r="F208" t="s">
        <v>7</v>
      </c>
      <c r="G208" t="s">
        <v>6</v>
      </c>
      <c r="L208" s="1" t="str">
        <f t="shared" si="43"/>
        <v>NA</v>
      </c>
      <c r="M208" s="1">
        <f t="shared" si="44"/>
        <v>0</v>
      </c>
      <c r="N208" s="2">
        <f t="shared" si="47"/>
        <v>30</v>
      </c>
    </row>
    <row r="209" spans="3:14" x14ac:dyDescent="0.25">
      <c r="C209">
        <v>4</v>
      </c>
      <c r="D209" s="3">
        <f t="shared" si="49"/>
        <v>46079</v>
      </c>
      <c r="E209" s="3">
        <f t="shared" si="50"/>
        <v>46109</v>
      </c>
      <c r="F209" t="s">
        <v>7</v>
      </c>
      <c r="G209" t="s">
        <v>10</v>
      </c>
      <c r="L209" s="1" t="str">
        <f t="shared" si="43"/>
        <v>NA</v>
      </c>
      <c r="M209" s="1">
        <f t="shared" si="44"/>
        <v>0</v>
      </c>
      <c r="N209" s="2">
        <f t="shared" si="47"/>
        <v>30</v>
      </c>
    </row>
    <row r="210" spans="3:14" x14ac:dyDescent="0.25">
      <c r="C210">
        <v>5</v>
      </c>
      <c r="D210" s="3">
        <f t="shared" si="49"/>
        <v>46079</v>
      </c>
      <c r="E210" s="3">
        <f t="shared" si="50"/>
        <v>46109</v>
      </c>
      <c r="F210" t="s">
        <v>0</v>
      </c>
      <c r="G210" t="s">
        <v>6</v>
      </c>
      <c r="L210" s="1" t="str">
        <f t="shared" si="43"/>
        <v>NA</v>
      </c>
      <c r="M210" s="1">
        <f t="shared" si="44"/>
        <v>0</v>
      </c>
      <c r="N210" s="2">
        <f t="shared" si="47"/>
        <v>30</v>
      </c>
    </row>
    <row r="211" spans="3:14" x14ac:dyDescent="0.25">
      <c r="C211">
        <v>6</v>
      </c>
      <c r="D211" s="3">
        <f t="shared" si="49"/>
        <v>46079</v>
      </c>
      <c r="E211" s="3">
        <f t="shared" si="50"/>
        <v>46109</v>
      </c>
      <c r="F211" t="s">
        <v>0</v>
      </c>
      <c r="G211" t="s">
        <v>10</v>
      </c>
      <c r="L211" s="1" t="str">
        <f t="shared" si="43"/>
        <v>NA</v>
      </c>
      <c r="M211" s="1">
        <f t="shared" si="44"/>
        <v>0</v>
      </c>
      <c r="N211" s="2">
        <f t="shared" si="47"/>
        <v>30</v>
      </c>
    </row>
    <row r="212" spans="3:14" x14ac:dyDescent="0.25">
      <c r="C212">
        <v>1</v>
      </c>
      <c r="D212" s="3">
        <f>D206+1</f>
        <v>46080</v>
      </c>
      <c r="E212" s="3">
        <f t="shared" si="50"/>
        <v>46110</v>
      </c>
      <c r="F212" t="s">
        <v>4</v>
      </c>
      <c r="G212" t="s">
        <v>6</v>
      </c>
      <c r="L212" s="1" t="str">
        <f t="shared" si="43"/>
        <v>NA</v>
      </c>
      <c r="M212" s="1">
        <f t="shared" si="44"/>
        <v>0</v>
      </c>
      <c r="N212" s="2">
        <f t="shared" si="47"/>
        <v>30</v>
      </c>
    </row>
    <row r="213" spans="3:14" x14ac:dyDescent="0.25">
      <c r="C213">
        <v>2</v>
      </c>
      <c r="D213" s="3">
        <f t="shared" ref="D213:D217" si="51">D212</f>
        <v>46080</v>
      </c>
      <c r="E213" s="3">
        <f t="shared" si="50"/>
        <v>46110</v>
      </c>
      <c r="F213" t="s">
        <v>4</v>
      </c>
      <c r="G213" t="s">
        <v>10</v>
      </c>
      <c r="L213" s="1" t="str">
        <f t="shared" si="43"/>
        <v>NA</v>
      </c>
      <c r="M213" s="1">
        <f t="shared" si="44"/>
        <v>0</v>
      </c>
      <c r="N213" s="2">
        <f t="shared" si="47"/>
        <v>30</v>
      </c>
    </row>
    <row r="214" spans="3:14" x14ac:dyDescent="0.25">
      <c r="C214">
        <v>3</v>
      </c>
      <c r="D214" s="3">
        <f t="shared" si="51"/>
        <v>46080</v>
      </c>
      <c r="E214" s="3">
        <f t="shared" si="50"/>
        <v>46110</v>
      </c>
      <c r="F214" t="s">
        <v>7</v>
      </c>
      <c r="G214" t="s">
        <v>6</v>
      </c>
      <c r="L214" s="1" t="str">
        <f t="shared" si="43"/>
        <v>NA</v>
      </c>
      <c r="M214" s="1">
        <f t="shared" si="44"/>
        <v>0</v>
      </c>
      <c r="N214" s="2">
        <f t="shared" si="47"/>
        <v>30</v>
      </c>
    </row>
    <row r="215" spans="3:14" x14ac:dyDescent="0.25">
      <c r="C215">
        <v>4</v>
      </c>
      <c r="D215" s="3">
        <f t="shared" si="51"/>
        <v>46080</v>
      </c>
      <c r="E215" s="3">
        <f t="shared" si="50"/>
        <v>46110</v>
      </c>
      <c r="F215" t="s">
        <v>7</v>
      </c>
      <c r="G215" t="s">
        <v>10</v>
      </c>
      <c r="L215" s="1" t="str">
        <f t="shared" si="43"/>
        <v>NA</v>
      </c>
      <c r="M215" s="1">
        <f t="shared" si="44"/>
        <v>0</v>
      </c>
      <c r="N215" s="2">
        <f t="shared" si="47"/>
        <v>30</v>
      </c>
    </row>
    <row r="216" spans="3:14" x14ac:dyDescent="0.25">
      <c r="C216">
        <v>5</v>
      </c>
      <c r="D216" s="3">
        <f t="shared" si="51"/>
        <v>46080</v>
      </c>
      <c r="E216" s="3">
        <f t="shared" si="50"/>
        <v>46110</v>
      </c>
      <c r="F216" t="s">
        <v>0</v>
      </c>
      <c r="G216" t="s">
        <v>6</v>
      </c>
      <c r="L216" s="1" t="str">
        <f t="shared" si="43"/>
        <v>NA</v>
      </c>
      <c r="M216" s="1">
        <f t="shared" si="44"/>
        <v>0</v>
      </c>
      <c r="N216" s="2">
        <f t="shared" si="47"/>
        <v>30</v>
      </c>
    </row>
    <row r="217" spans="3:14" x14ac:dyDescent="0.25">
      <c r="C217">
        <v>6</v>
      </c>
      <c r="D217" s="3">
        <f t="shared" si="51"/>
        <v>46080</v>
      </c>
      <c r="E217" s="3">
        <f t="shared" si="50"/>
        <v>46110</v>
      </c>
      <c r="F217" t="s">
        <v>0</v>
      </c>
      <c r="G217" t="s">
        <v>10</v>
      </c>
      <c r="L217" s="1" t="str">
        <f t="shared" si="43"/>
        <v>NA</v>
      </c>
      <c r="M217" s="1">
        <f t="shared" si="44"/>
        <v>0</v>
      </c>
      <c r="N217" s="2">
        <f t="shared" si="47"/>
        <v>30</v>
      </c>
    </row>
    <row r="218" spans="3:14" x14ac:dyDescent="0.25">
      <c r="C218">
        <v>1</v>
      </c>
      <c r="D218" s="3">
        <f>D212+1</f>
        <v>46081</v>
      </c>
      <c r="E218" s="3">
        <f t="shared" si="50"/>
        <v>46111</v>
      </c>
      <c r="F218" t="s">
        <v>4</v>
      </c>
      <c r="G218" t="s">
        <v>6</v>
      </c>
      <c r="L218" s="1" t="str">
        <f t="shared" si="43"/>
        <v>NA</v>
      </c>
      <c r="M218" s="1">
        <f t="shared" si="44"/>
        <v>0</v>
      </c>
      <c r="N218" s="2">
        <f t="shared" si="47"/>
        <v>30</v>
      </c>
    </row>
    <row r="219" spans="3:14" x14ac:dyDescent="0.25">
      <c r="C219">
        <v>2</v>
      </c>
      <c r="D219" s="3">
        <f t="shared" ref="D219:D223" si="52">D218</f>
        <v>46081</v>
      </c>
      <c r="E219" s="3">
        <f t="shared" si="50"/>
        <v>46111</v>
      </c>
      <c r="F219" t="s">
        <v>4</v>
      </c>
      <c r="G219" t="s">
        <v>10</v>
      </c>
      <c r="L219" s="1" t="str">
        <f t="shared" si="43"/>
        <v>NA</v>
      </c>
      <c r="M219" s="1">
        <f t="shared" si="44"/>
        <v>0</v>
      </c>
      <c r="N219" s="2">
        <f t="shared" si="47"/>
        <v>30</v>
      </c>
    </row>
    <row r="220" spans="3:14" x14ac:dyDescent="0.25">
      <c r="C220">
        <v>3</v>
      </c>
      <c r="D220" s="3">
        <f t="shared" si="52"/>
        <v>46081</v>
      </c>
      <c r="E220" s="3">
        <f t="shared" si="50"/>
        <v>46111</v>
      </c>
      <c r="F220" t="s">
        <v>7</v>
      </c>
      <c r="G220" t="s">
        <v>6</v>
      </c>
      <c r="L220" s="1" t="str">
        <f t="shared" si="43"/>
        <v>NA</v>
      </c>
      <c r="M220" s="1">
        <f t="shared" si="44"/>
        <v>0</v>
      </c>
      <c r="N220" s="2">
        <f t="shared" si="47"/>
        <v>30</v>
      </c>
    </row>
    <row r="221" spans="3:14" x14ac:dyDescent="0.25">
      <c r="C221">
        <v>4</v>
      </c>
      <c r="D221" s="3">
        <f t="shared" si="52"/>
        <v>46081</v>
      </c>
      <c r="E221" s="3">
        <f t="shared" si="50"/>
        <v>46111</v>
      </c>
      <c r="F221" t="s">
        <v>7</v>
      </c>
      <c r="G221" t="s">
        <v>10</v>
      </c>
      <c r="L221" s="1" t="str">
        <f t="shared" si="43"/>
        <v>NA</v>
      </c>
      <c r="M221" s="1">
        <f t="shared" si="44"/>
        <v>0</v>
      </c>
      <c r="N221" s="2">
        <f t="shared" si="47"/>
        <v>30</v>
      </c>
    </row>
    <row r="222" spans="3:14" x14ac:dyDescent="0.25">
      <c r="C222">
        <v>5</v>
      </c>
      <c r="D222" s="3">
        <f t="shared" si="52"/>
        <v>46081</v>
      </c>
      <c r="E222" s="3">
        <f t="shared" si="50"/>
        <v>46111</v>
      </c>
      <c r="F222" t="s">
        <v>0</v>
      </c>
      <c r="G222" t="s">
        <v>6</v>
      </c>
      <c r="L222" s="1" t="str">
        <f t="shared" si="43"/>
        <v>NA</v>
      </c>
      <c r="M222" s="1">
        <f t="shared" si="44"/>
        <v>0</v>
      </c>
      <c r="N222" s="2">
        <f t="shared" si="47"/>
        <v>30</v>
      </c>
    </row>
    <row r="223" spans="3:14" x14ac:dyDescent="0.25">
      <c r="C223">
        <v>6</v>
      </c>
      <c r="D223" s="3">
        <f t="shared" si="52"/>
        <v>46081</v>
      </c>
      <c r="E223" s="3">
        <f t="shared" si="50"/>
        <v>46111</v>
      </c>
      <c r="F223" t="s">
        <v>0</v>
      </c>
      <c r="G223" t="s">
        <v>10</v>
      </c>
      <c r="L223" s="1" t="str">
        <f t="shared" si="43"/>
        <v>NA</v>
      </c>
      <c r="M223" s="1">
        <f t="shared" si="44"/>
        <v>0</v>
      </c>
      <c r="N223" s="2">
        <f t="shared" si="47"/>
        <v>30</v>
      </c>
    </row>
    <row r="224" spans="3:14" x14ac:dyDescent="0.25">
      <c r="C224">
        <v>1</v>
      </c>
      <c r="D224" s="3">
        <f>D218+1</f>
        <v>46082</v>
      </c>
      <c r="E224" s="3">
        <f t="shared" si="50"/>
        <v>46112</v>
      </c>
      <c r="F224" t="s">
        <v>4</v>
      </c>
      <c r="G224" t="s">
        <v>6</v>
      </c>
      <c r="L224" s="1" t="str">
        <f t="shared" si="43"/>
        <v>NA</v>
      </c>
      <c r="M224" s="1">
        <f t="shared" si="44"/>
        <v>0</v>
      </c>
      <c r="N224" s="2">
        <f t="shared" si="47"/>
        <v>30</v>
      </c>
    </row>
    <row r="225" spans="3:14" x14ac:dyDescent="0.25">
      <c r="C225">
        <v>2</v>
      </c>
      <c r="D225" s="3">
        <f t="shared" ref="D225:D229" si="53">D224</f>
        <v>46082</v>
      </c>
      <c r="E225" s="3">
        <f t="shared" si="50"/>
        <v>46112</v>
      </c>
      <c r="F225" t="s">
        <v>4</v>
      </c>
      <c r="G225" t="s">
        <v>10</v>
      </c>
      <c r="L225" s="1" t="str">
        <f t="shared" si="43"/>
        <v>NA</v>
      </c>
      <c r="M225" s="1">
        <f t="shared" si="44"/>
        <v>0</v>
      </c>
      <c r="N225" s="2">
        <f t="shared" si="47"/>
        <v>30</v>
      </c>
    </row>
    <row r="226" spans="3:14" x14ac:dyDescent="0.25">
      <c r="C226">
        <v>3</v>
      </c>
      <c r="D226" s="3">
        <f t="shared" si="53"/>
        <v>46082</v>
      </c>
      <c r="E226" s="3">
        <f t="shared" si="50"/>
        <v>46112</v>
      </c>
      <c r="F226" t="s">
        <v>7</v>
      </c>
      <c r="G226" t="s">
        <v>6</v>
      </c>
      <c r="L226" s="1" t="str">
        <f t="shared" si="43"/>
        <v>NA</v>
      </c>
      <c r="M226" s="1">
        <f t="shared" si="44"/>
        <v>0</v>
      </c>
      <c r="N226" s="2">
        <f t="shared" si="47"/>
        <v>30</v>
      </c>
    </row>
    <row r="227" spans="3:14" x14ac:dyDescent="0.25">
      <c r="C227">
        <v>4</v>
      </c>
      <c r="D227" s="3">
        <f t="shared" si="53"/>
        <v>46082</v>
      </c>
      <c r="E227" s="3">
        <f t="shared" si="50"/>
        <v>46112</v>
      </c>
      <c r="F227" t="s">
        <v>7</v>
      </c>
      <c r="G227" t="s">
        <v>10</v>
      </c>
      <c r="L227" s="1" t="str">
        <f t="shared" si="43"/>
        <v>NA</v>
      </c>
      <c r="M227" s="1">
        <f t="shared" si="44"/>
        <v>0</v>
      </c>
      <c r="N227" s="2">
        <f t="shared" si="47"/>
        <v>30</v>
      </c>
    </row>
    <row r="228" spans="3:14" x14ac:dyDescent="0.25">
      <c r="C228">
        <v>5</v>
      </c>
      <c r="D228" s="3">
        <f t="shared" si="53"/>
        <v>46082</v>
      </c>
      <c r="E228" s="3">
        <f t="shared" si="50"/>
        <v>46112</v>
      </c>
      <c r="F228" t="s">
        <v>0</v>
      </c>
      <c r="G228" t="s">
        <v>6</v>
      </c>
      <c r="L228" s="1" t="str">
        <f t="shared" si="43"/>
        <v>NA</v>
      </c>
      <c r="M228" s="1">
        <f t="shared" si="44"/>
        <v>0</v>
      </c>
      <c r="N228" s="2">
        <f t="shared" si="47"/>
        <v>30</v>
      </c>
    </row>
    <row r="229" spans="3:14" x14ac:dyDescent="0.25">
      <c r="C229">
        <v>6</v>
      </c>
      <c r="D229" s="3">
        <f t="shared" si="53"/>
        <v>46082</v>
      </c>
      <c r="E229" s="3">
        <f t="shared" si="50"/>
        <v>46112</v>
      </c>
      <c r="F229" t="s">
        <v>0</v>
      </c>
      <c r="G229" t="s">
        <v>10</v>
      </c>
      <c r="L229" s="1" t="str">
        <f t="shared" si="43"/>
        <v>NA</v>
      </c>
      <c r="M229" s="1">
        <f t="shared" si="44"/>
        <v>0</v>
      </c>
      <c r="N229" s="2">
        <f t="shared" si="47"/>
        <v>30</v>
      </c>
    </row>
    <row r="230" spans="3:14" x14ac:dyDescent="0.25">
      <c r="C230">
        <v>1</v>
      </c>
      <c r="D230" s="3">
        <f>D224+1</f>
        <v>46083</v>
      </c>
      <c r="E230" s="3">
        <f t="shared" si="50"/>
        <v>46113</v>
      </c>
      <c r="F230" t="s">
        <v>4</v>
      </c>
      <c r="G230" t="s">
        <v>6</v>
      </c>
      <c r="L230" s="1" t="str">
        <f t="shared" si="43"/>
        <v>NA</v>
      </c>
      <c r="M230" s="1">
        <f t="shared" si="44"/>
        <v>0</v>
      </c>
      <c r="N230" s="2">
        <f t="shared" si="47"/>
        <v>30</v>
      </c>
    </row>
    <row r="231" spans="3:14" x14ac:dyDescent="0.25">
      <c r="C231">
        <v>2</v>
      </c>
      <c r="D231" s="3">
        <f t="shared" ref="D231:D235" si="54">D230</f>
        <v>46083</v>
      </c>
      <c r="E231" s="3">
        <f t="shared" si="50"/>
        <v>46113</v>
      </c>
      <c r="F231" t="s">
        <v>4</v>
      </c>
      <c r="G231" t="s">
        <v>10</v>
      </c>
      <c r="L231" s="1" t="str">
        <f t="shared" si="43"/>
        <v>NA</v>
      </c>
      <c r="M231" s="1">
        <f t="shared" si="44"/>
        <v>0</v>
      </c>
      <c r="N231" s="2">
        <f t="shared" si="47"/>
        <v>30</v>
      </c>
    </row>
    <row r="232" spans="3:14" x14ac:dyDescent="0.25">
      <c r="C232">
        <v>3</v>
      </c>
      <c r="D232" s="3">
        <f t="shared" si="54"/>
        <v>46083</v>
      </c>
      <c r="E232" s="3">
        <f t="shared" si="50"/>
        <v>46113</v>
      </c>
      <c r="F232" t="s">
        <v>7</v>
      </c>
      <c r="G232" t="s">
        <v>6</v>
      </c>
      <c r="L232" s="1" t="str">
        <f t="shared" si="43"/>
        <v>NA</v>
      </c>
      <c r="M232" s="1">
        <f t="shared" si="44"/>
        <v>0</v>
      </c>
      <c r="N232" s="2">
        <f t="shared" si="47"/>
        <v>30</v>
      </c>
    </row>
    <row r="233" spans="3:14" x14ac:dyDescent="0.25">
      <c r="C233">
        <v>4</v>
      </c>
      <c r="D233" s="3">
        <f t="shared" si="54"/>
        <v>46083</v>
      </c>
      <c r="E233" s="3">
        <f t="shared" si="50"/>
        <v>46113</v>
      </c>
      <c r="F233" t="s">
        <v>7</v>
      </c>
      <c r="G233" t="s">
        <v>10</v>
      </c>
      <c r="L233" s="1" t="str">
        <f t="shared" si="43"/>
        <v>NA</v>
      </c>
      <c r="M233" s="1">
        <f t="shared" si="44"/>
        <v>0</v>
      </c>
      <c r="N233" s="2">
        <f t="shared" si="47"/>
        <v>30</v>
      </c>
    </row>
    <row r="234" spans="3:14" x14ac:dyDescent="0.25">
      <c r="C234">
        <v>5</v>
      </c>
      <c r="D234" s="3">
        <f t="shared" si="54"/>
        <v>46083</v>
      </c>
      <c r="E234" s="3">
        <f t="shared" si="50"/>
        <v>46113</v>
      </c>
      <c r="F234" t="s">
        <v>0</v>
      </c>
      <c r="G234" t="s">
        <v>6</v>
      </c>
      <c r="L234" s="1" t="str">
        <f t="shared" si="43"/>
        <v>NA</v>
      </c>
      <c r="M234" s="1">
        <f t="shared" si="44"/>
        <v>0</v>
      </c>
      <c r="N234" s="2">
        <f t="shared" si="47"/>
        <v>30</v>
      </c>
    </row>
    <row r="235" spans="3:14" x14ac:dyDescent="0.25">
      <c r="C235">
        <v>6</v>
      </c>
      <c r="D235" s="3">
        <f t="shared" si="54"/>
        <v>46083</v>
      </c>
      <c r="E235" s="3">
        <f t="shared" si="50"/>
        <v>46113</v>
      </c>
      <c r="F235" t="s">
        <v>0</v>
      </c>
      <c r="G235" t="s">
        <v>10</v>
      </c>
      <c r="L235" s="1" t="str">
        <f t="shared" si="43"/>
        <v>NA</v>
      </c>
      <c r="M235" s="1">
        <f t="shared" si="44"/>
        <v>0</v>
      </c>
      <c r="N235" s="2">
        <f t="shared" si="47"/>
        <v>30</v>
      </c>
    </row>
    <row r="236" spans="3:14" x14ac:dyDescent="0.25">
      <c r="C236">
        <v>1</v>
      </c>
      <c r="D236" s="3">
        <f>D230+1</f>
        <v>46084</v>
      </c>
      <c r="E236" s="3">
        <f t="shared" si="50"/>
        <v>46114</v>
      </c>
      <c r="F236" t="s">
        <v>4</v>
      </c>
      <c r="G236" t="s">
        <v>6</v>
      </c>
      <c r="L236" s="1" t="str">
        <f t="shared" si="43"/>
        <v>NA</v>
      </c>
      <c r="M236" s="1">
        <f t="shared" si="44"/>
        <v>0</v>
      </c>
      <c r="N236" s="2">
        <f t="shared" si="47"/>
        <v>30</v>
      </c>
    </row>
    <row r="237" spans="3:14" x14ac:dyDescent="0.25">
      <c r="C237">
        <v>2</v>
      </c>
      <c r="D237" s="3">
        <f t="shared" ref="D237:D241" si="55">D236</f>
        <v>46084</v>
      </c>
      <c r="E237" s="3">
        <f t="shared" si="50"/>
        <v>46114</v>
      </c>
      <c r="F237" t="s">
        <v>4</v>
      </c>
      <c r="G237" t="s">
        <v>10</v>
      </c>
      <c r="L237" s="1" t="str">
        <f t="shared" si="43"/>
        <v>NA</v>
      </c>
      <c r="M237" s="1">
        <f t="shared" si="44"/>
        <v>0</v>
      </c>
      <c r="N237" s="2">
        <f t="shared" si="47"/>
        <v>30</v>
      </c>
    </row>
    <row r="238" spans="3:14" x14ac:dyDescent="0.25">
      <c r="C238">
        <v>3</v>
      </c>
      <c r="D238" s="3">
        <f t="shared" si="55"/>
        <v>46084</v>
      </c>
      <c r="E238" s="3">
        <f t="shared" si="50"/>
        <v>46114</v>
      </c>
      <c r="F238" t="s">
        <v>7</v>
      </c>
      <c r="G238" t="s">
        <v>6</v>
      </c>
      <c r="L238" s="1" t="str">
        <f t="shared" si="43"/>
        <v>NA</v>
      </c>
      <c r="M238" s="1">
        <f t="shared" si="44"/>
        <v>0</v>
      </c>
      <c r="N238" s="2">
        <f t="shared" si="47"/>
        <v>30</v>
      </c>
    </row>
    <row r="239" spans="3:14" x14ac:dyDescent="0.25">
      <c r="C239">
        <v>4</v>
      </c>
      <c r="D239" s="3">
        <f t="shared" si="55"/>
        <v>46084</v>
      </c>
      <c r="E239" s="3">
        <f t="shared" si="50"/>
        <v>46114</v>
      </c>
      <c r="F239" t="s">
        <v>7</v>
      </c>
      <c r="G239" t="s">
        <v>10</v>
      </c>
      <c r="L239" s="1" t="str">
        <f t="shared" si="43"/>
        <v>NA</v>
      </c>
      <c r="M239" s="1">
        <f t="shared" si="44"/>
        <v>0</v>
      </c>
      <c r="N239" s="2">
        <f t="shared" si="47"/>
        <v>30</v>
      </c>
    </row>
    <row r="240" spans="3:14" x14ac:dyDescent="0.25">
      <c r="C240">
        <v>5</v>
      </c>
      <c r="D240" s="3">
        <f t="shared" si="55"/>
        <v>46084</v>
      </c>
      <c r="E240" s="3">
        <f t="shared" si="50"/>
        <v>46114</v>
      </c>
      <c r="F240" t="s">
        <v>0</v>
      </c>
      <c r="G240" t="s">
        <v>6</v>
      </c>
      <c r="L240" s="1" t="str">
        <f t="shared" si="43"/>
        <v>NA</v>
      </c>
      <c r="M240" s="1">
        <f t="shared" si="44"/>
        <v>0</v>
      </c>
      <c r="N240" s="2">
        <f t="shared" si="47"/>
        <v>30</v>
      </c>
    </row>
    <row r="241" spans="3:14" x14ac:dyDescent="0.25">
      <c r="C241">
        <v>6</v>
      </c>
      <c r="D241" s="3">
        <f t="shared" si="55"/>
        <v>46084</v>
      </c>
      <c r="E241" s="3">
        <f t="shared" si="50"/>
        <v>46114</v>
      </c>
      <c r="F241" t="s">
        <v>0</v>
      </c>
      <c r="G241" t="s">
        <v>10</v>
      </c>
      <c r="L241" s="1" t="str">
        <f t="shared" si="43"/>
        <v>NA</v>
      </c>
      <c r="M241" s="1">
        <f t="shared" si="44"/>
        <v>0</v>
      </c>
      <c r="N241" s="2">
        <f t="shared" si="47"/>
        <v>30</v>
      </c>
    </row>
    <row r="242" spans="3:14" x14ac:dyDescent="0.25">
      <c r="C242">
        <v>1</v>
      </c>
      <c r="D242" s="3">
        <f>D236+1</f>
        <v>46085</v>
      </c>
      <c r="E242" s="3">
        <f t="shared" si="50"/>
        <v>46115</v>
      </c>
      <c r="F242" t="s">
        <v>4</v>
      </c>
      <c r="G242" t="s">
        <v>6</v>
      </c>
      <c r="L242" s="1" t="str">
        <f t="shared" si="43"/>
        <v>NA</v>
      </c>
      <c r="M242" s="1">
        <f t="shared" si="44"/>
        <v>0</v>
      </c>
      <c r="N242" s="2">
        <f t="shared" si="47"/>
        <v>30</v>
      </c>
    </row>
    <row r="243" spans="3:14" x14ac:dyDescent="0.25">
      <c r="C243">
        <v>2</v>
      </c>
      <c r="D243" s="3">
        <f t="shared" ref="D243:D247" si="56">D242</f>
        <v>46085</v>
      </c>
      <c r="E243" s="3">
        <f t="shared" si="50"/>
        <v>46115</v>
      </c>
      <c r="F243" t="s">
        <v>4</v>
      </c>
      <c r="G243" t="s">
        <v>10</v>
      </c>
      <c r="L243" s="1" t="str">
        <f t="shared" si="43"/>
        <v>NA</v>
      </c>
      <c r="M243" s="1">
        <f t="shared" si="44"/>
        <v>0</v>
      </c>
      <c r="N243" s="2">
        <f t="shared" si="47"/>
        <v>30</v>
      </c>
    </row>
    <row r="244" spans="3:14" x14ac:dyDescent="0.25">
      <c r="C244">
        <v>3</v>
      </c>
      <c r="D244" s="3">
        <f t="shared" si="56"/>
        <v>46085</v>
      </c>
      <c r="E244" s="3">
        <f t="shared" si="50"/>
        <v>46115</v>
      </c>
      <c r="F244" t="s">
        <v>7</v>
      </c>
      <c r="G244" t="s">
        <v>6</v>
      </c>
      <c r="L244" s="1" t="str">
        <f t="shared" si="43"/>
        <v>NA</v>
      </c>
      <c r="M244" s="1">
        <f t="shared" si="44"/>
        <v>0</v>
      </c>
      <c r="N244" s="2">
        <f t="shared" si="47"/>
        <v>30</v>
      </c>
    </row>
    <row r="245" spans="3:14" x14ac:dyDescent="0.25">
      <c r="C245">
        <v>4</v>
      </c>
      <c r="D245" s="3">
        <f t="shared" si="56"/>
        <v>46085</v>
      </c>
      <c r="E245" s="3">
        <f t="shared" si="50"/>
        <v>46115</v>
      </c>
      <c r="F245" t="s">
        <v>7</v>
      </c>
      <c r="G245" t="s">
        <v>10</v>
      </c>
      <c r="L245" s="1" t="str">
        <f t="shared" si="43"/>
        <v>NA</v>
      </c>
      <c r="M245" s="1">
        <f t="shared" si="44"/>
        <v>0</v>
      </c>
      <c r="N245" s="2">
        <f t="shared" si="47"/>
        <v>30</v>
      </c>
    </row>
    <row r="246" spans="3:14" x14ac:dyDescent="0.25">
      <c r="C246">
        <v>5</v>
      </c>
      <c r="D246" s="3">
        <f t="shared" si="56"/>
        <v>46085</v>
      </c>
      <c r="E246" s="3">
        <f t="shared" si="50"/>
        <v>46115</v>
      </c>
      <c r="F246" t="s">
        <v>0</v>
      </c>
      <c r="G246" t="s">
        <v>6</v>
      </c>
      <c r="L246" s="1" t="str">
        <f t="shared" si="43"/>
        <v>NA</v>
      </c>
      <c r="M246" s="1">
        <f t="shared" si="44"/>
        <v>0</v>
      </c>
      <c r="N246" s="2">
        <f t="shared" si="47"/>
        <v>30</v>
      </c>
    </row>
    <row r="247" spans="3:14" x14ac:dyDescent="0.25">
      <c r="C247">
        <v>6</v>
      </c>
      <c r="D247" s="3">
        <f t="shared" si="56"/>
        <v>46085</v>
      </c>
      <c r="E247" s="3">
        <f t="shared" si="50"/>
        <v>46115</v>
      </c>
      <c r="F247" t="s">
        <v>0</v>
      </c>
      <c r="G247" t="s">
        <v>10</v>
      </c>
      <c r="L247" s="1" t="str">
        <f t="shared" si="43"/>
        <v>NA</v>
      </c>
      <c r="M247" s="1">
        <f t="shared" si="44"/>
        <v>0</v>
      </c>
      <c r="N247" s="2">
        <f t="shared" si="47"/>
        <v>30</v>
      </c>
    </row>
    <row r="248" spans="3:14" x14ac:dyDescent="0.25">
      <c r="C248">
        <v>1</v>
      </c>
      <c r="D248" s="3">
        <f>D242+1</f>
        <v>46086</v>
      </c>
      <c r="E248" s="3">
        <f t="shared" si="50"/>
        <v>46116</v>
      </c>
      <c r="F248" t="s">
        <v>4</v>
      </c>
      <c r="G248" t="s">
        <v>6</v>
      </c>
      <c r="L248" s="1" t="str">
        <f t="shared" si="43"/>
        <v>NA</v>
      </c>
      <c r="M248" s="1">
        <f t="shared" si="44"/>
        <v>0</v>
      </c>
      <c r="N248" s="2">
        <f t="shared" si="47"/>
        <v>30</v>
      </c>
    </row>
    <row r="249" spans="3:14" x14ac:dyDescent="0.25">
      <c r="C249">
        <v>2</v>
      </c>
      <c r="D249" s="3">
        <f t="shared" ref="D249:D253" si="57">D248</f>
        <v>46086</v>
      </c>
      <c r="E249" s="3">
        <f t="shared" si="50"/>
        <v>46116</v>
      </c>
      <c r="F249" t="s">
        <v>4</v>
      </c>
      <c r="G249" t="s">
        <v>10</v>
      </c>
      <c r="L249" s="1" t="str">
        <f t="shared" ref="L249:L289" si="58">IFERROR(I249/H249,"NA")</f>
        <v>NA</v>
      </c>
      <c r="M249" s="1">
        <f t="shared" ref="M249:M289" si="59">IFERROR(J249/I249,0)</f>
        <v>0</v>
      </c>
      <c r="N249" s="2">
        <f t="shared" si="47"/>
        <v>30</v>
      </c>
    </row>
    <row r="250" spans="3:14" x14ac:dyDescent="0.25">
      <c r="C250">
        <v>3</v>
      </c>
      <c r="D250" s="3">
        <f t="shared" si="57"/>
        <v>46086</v>
      </c>
      <c r="E250" s="3">
        <f t="shared" si="50"/>
        <v>46116</v>
      </c>
      <c r="F250" t="s">
        <v>7</v>
      </c>
      <c r="G250" t="s">
        <v>6</v>
      </c>
      <c r="L250" s="1" t="str">
        <f t="shared" si="58"/>
        <v>NA</v>
      </c>
      <c r="M250" s="1">
        <f t="shared" si="59"/>
        <v>0</v>
      </c>
      <c r="N250" s="2">
        <f t="shared" si="47"/>
        <v>30</v>
      </c>
    </row>
    <row r="251" spans="3:14" x14ac:dyDescent="0.25">
      <c r="C251">
        <v>4</v>
      </c>
      <c r="D251" s="3">
        <f t="shared" si="57"/>
        <v>46086</v>
      </c>
      <c r="E251" s="3">
        <f t="shared" si="50"/>
        <v>46116</v>
      </c>
      <c r="F251" t="s">
        <v>7</v>
      </c>
      <c r="G251" t="s">
        <v>10</v>
      </c>
      <c r="L251" s="1" t="str">
        <f t="shared" si="58"/>
        <v>NA</v>
      </c>
      <c r="M251" s="1">
        <f t="shared" si="59"/>
        <v>0</v>
      </c>
      <c r="N251" s="2">
        <f t="shared" si="47"/>
        <v>30</v>
      </c>
    </row>
    <row r="252" spans="3:14" x14ac:dyDescent="0.25">
      <c r="C252">
        <v>5</v>
      </c>
      <c r="D252" s="3">
        <f t="shared" si="57"/>
        <v>46086</v>
      </c>
      <c r="E252" s="3">
        <f t="shared" si="50"/>
        <v>46116</v>
      </c>
      <c r="F252" t="s">
        <v>0</v>
      </c>
      <c r="G252" t="s">
        <v>6</v>
      </c>
      <c r="L252" s="1" t="str">
        <f t="shared" si="58"/>
        <v>NA</v>
      </c>
      <c r="M252" s="1">
        <f t="shared" si="59"/>
        <v>0</v>
      </c>
      <c r="N252" s="2">
        <f t="shared" si="47"/>
        <v>30</v>
      </c>
    </row>
    <row r="253" spans="3:14" x14ac:dyDescent="0.25">
      <c r="C253">
        <v>6</v>
      </c>
      <c r="D253" s="3">
        <f t="shared" si="57"/>
        <v>46086</v>
      </c>
      <c r="E253" s="3">
        <f t="shared" si="50"/>
        <v>46116</v>
      </c>
      <c r="F253" t="s">
        <v>0</v>
      </c>
      <c r="G253" t="s">
        <v>10</v>
      </c>
      <c r="L253" s="1" t="str">
        <f t="shared" si="58"/>
        <v>NA</v>
      </c>
      <c r="M253" s="1">
        <f t="shared" si="59"/>
        <v>0</v>
      </c>
      <c r="N253" s="2">
        <f t="shared" si="47"/>
        <v>30</v>
      </c>
    </row>
    <row r="254" spans="3:14" x14ac:dyDescent="0.25">
      <c r="C254">
        <v>1</v>
      </c>
      <c r="D254" s="3">
        <f>D248+1</f>
        <v>46087</v>
      </c>
      <c r="E254" s="3">
        <f t="shared" si="50"/>
        <v>46117</v>
      </c>
      <c r="F254" t="s">
        <v>4</v>
      </c>
      <c r="G254" t="s">
        <v>6</v>
      </c>
      <c r="L254" s="1" t="str">
        <f t="shared" si="58"/>
        <v>NA</v>
      </c>
      <c r="M254" s="1">
        <f t="shared" si="59"/>
        <v>0</v>
      </c>
      <c r="N254" s="2">
        <f t="shared" si="47"/>
        <v>30</v>
      </c>
    </row>
    <row r="255" spans="3:14" x14ac:dyDescent="0.25">
      <c r="C255">
        <v>2</v>
      </c>
      <c r="D255" s="3">
        <f t="shared" ref="D255:D259" si="60">D254</f>
        <v>46087</v>
      </c>
      <c r="E255" s="3">
        <f t="shared" si="50"/>
        <v>46117</v>
      </c>
      <c r="F255" t="s">
        <v>4</v>
      </c>
      <c r="G255" t="s">
        <v>10</v>
      </c>
      <c r="L255" s="1" t="str">
        <f t="shared" si="58"/>
        <v>NA</v>
      </c>
      <c r="M255" s="1">
        <f t="shared" si="59"/>
        <v>0</v>
      </c>
      <c r="N255" s="2">
        <f t="shared" si="47"/>
        <v>30</v>
      </c>
    </row>
    <row r="256" spans="3:14" x14ac:dyDescent="0.25">
      <c r="C256">
        <v>3</v>
      </c>
      <c r="D256" s="3">
        <f t="shared" si="60"/>
        <v>46087</v>
      </c>
      <c r="E256" s="3">
        <f t="shared" si="50"/>
        <v>46117</v>
      </c>
      <c r="F256" t="s">
        <v>7</v>
      </c>
      <c r="G256" t="s">
        <v>6</v>
      </c>
      <c r="L256" s="1" t="str">
        <f t="shared" si="58"/>
        <v>NA</v>
      </c>
      <c r="M256" s="1">
        <f t="shared" si="59"/>
        <v>0</v>
      </c>
      <c r="N256" s="2">
        <f t="shared" si="47"/>
        <v>30</v>
      </c>
    </row>
    <row r="257" spans="3:14" x14ac:dyDescent="0.25">
      <c r="C257">
        <v>4</v>
      </c>
      <c r="D257" s="3">
        <f t="shared" si="60"/>
        <v>46087</v>
      </c>
      <c r="E257" s="3">
        <f t="shared" si="50"/>
        <v>46117</v>
      </c>
      <c r="F257" t="s">
        <v>7</v>
      </c>
      <c r="G257" t="s">
        <v>10</v>
      </c>
      <c r="L257" s="1" t="str">
        <f t="shared" si="58"/>
        <v>NA</v>
      </c>
      <c r="M257" s="1">
        <f t="shared" si="59"/>
        <v>0</v>
      </c>
      <c r="N257" s="2">
        <f t="shared" si="47"/>
        <v>30</v>
      </c>
    </row>
    <row r="258" spans="3:14" x14ac:dyDescent="0.25">
      <c r="C258">
        <v>5</v>
      </c>
      <c r="D258" s="3">
        <f t="shared" si="60"/>
        <v>46087</v>
      </c>
      <c r="E258" s="3">
        <f t="shared" si="50"/>
        <v>46117</v>
      </c>
      <c r="F258" t="s">
        <v>0</v>
      </c>
      <c r="G258" t="s">
        <v>6</v>
      </c>
      <c r="L258" s="1" t="str">
        <f t="shared" si="58"/>
        <v>NA</v>
      </c>
      <c r="M258" s="1">
        <f t="shared" si="59"/>
        <v>0</v>
      </c>
      <c r="N258" s="2">
        <f t="shared" si="47"/>
        <v>30</v>
      </c>
    </row>
    <row r="259" spans="3:14" x14ac:dyDescent="0.25">
      <c r="C259">
        <v>6</v>
      </c>
      <c r="D259" s="3">
        <f t="shared" si="60"/>
        <v>46087</v>
      </c>
      <c r="E259" s="3">
        <f t="shared" si="50"/>
        <v>46117</v>
      </c>
      <c r="F259" t="s">
        <v>0</v>
      </c>
      <c r="G259" t="s">
        <v>10</v>
      </c>
      <c r="L259" s="1" t="str">
        <f t="shared" si="58"/>
        <v>NA</v>
      </c>
      <c r="M259" s="1">
        <f t="shared" si="59"/>
        <v>0</v>
      </c>
      <c r="N259" s="2">
        <f t="shared" ref="N259:N322" si="61">ABS(D259-E259)</f>
        <v>30</v>
      </c>
    </row>
    <row r="260" spans="3:14" x14ac:dyDescent="0.25">
      <c r="C260">
        <v>1</v>
      </c>
      <c r="D260" s="3">
        <f>D254+1</f>
        <v>46088</v>
      </c>
      <c r="E260" s="3">
        <f t="shared" si="50"/>
        <v>46118</v>
      </c>
      <c r="F260" t="s">
        <v>4</v>
      </c>
      <c r="G260" t="s">
        <v>6</v>
      </c>
      <c r="L260" s="1" t="str">
        <f t="shared" si="58"/>
        <v>NA</v>
      </c>
      <c r="M260" s="1">
        <f t="shared" si="59"/>
        <v>0</v>
      </c>
      <c r="N260" s="2">
        <f t="shared" si="61"/>
        <v>30</v>
      </c>
    </row>
    <row r="261" spans="3:14" x14ac:dyDescent="0.25">
      <c r="C261">
        <v>2</v>
      </c>
      <c r="D261" s="3">
        <f t="shared" ref="D261:D265" si="62">D260</f>
        <v>46088</v>
      </c>
      <c r="E261" s="3">
        <f t="shared" si="50"/>
        <v>46118</v>
      </c>
      <c r="F261" t="s">
        <v>4</v>
      </c>
      <c r="G261" t="s">
        <v>10</v>
      </c>
      <c r="L261" s="1" t="str">
        <f t="shared" si="58"/>
        <v>NA</v>
      </c>
      <c r="M261" s="1">
        <f t="shared" si="59"/>
        <v>0</v>
      </c>
      <c r="N261" s="2">
        <f t="shared" si="61"/>
        <v>30</v>
      </c>
    </row>
    <row r="262" spans="3:14" x14ac:dyDescent="0.25">
      <c r="C262">
        <v>3</v>
      </c>
      <c r="D262" s="3">
        <f t="shared" si="62"/>
        <v>46088</v>
      </c>
      <c r="E262" s="3">
        <f t="shared" si="50"/>
        <v>46118</v>
      </c>
      <c r="F262" t="s">
        <v>7</v>
      </c>
      <c r="G262" t="s">
        <v>6</v>
      </c>
      <c r="L262" s="1" t="str">
        <f t="shared" si="58"/>
        <v>NA</v>
      </c>
      <c r="M262" s="1">
        <f t="shared" si="59"/>
        <v>0</v>
      </c>
      <c r="N262" s="2">
        <f t="shared" si="61"/>
        <v>30</v>
      </c>
    </row>
    <row r="263" spans="3:14" x14ac:dyDescent="0.25">
      <c r="C263">
        <v>4</v>
      </c>
      <c r="D263" s="3">
        <f t="shared" si="62"/>
        <v>46088</v>
      </c>
      <c r="E263" s="3">
        <f t="shared" si="50"/>
        <v>46118</v>
      </c>
      <c r="F263" t="s">
        <v>7</v>
      </c>
      <c r="G263" t="s">
        <v>10</v>
      </c>
      <c r="L263" s="1" t="str">
        <f t="shared" si="58"/>
        <v>NA</v>
      </c>
      <c r="M263" s="1">
        <f t="shared" si="59"/>
        <v>0</v>
      </c>
      <c r="N263" s="2">
        <f t="shared" si="61"/>
        <v>30</v>
      </c>
    </row>
    <row r="264" spans="3:14" x14ac:dyDescent="0.25">
      <c r="C264">
        <v>5</v>
      </c>
      <c r="D264" s="3">
        <f t="shared" si="62"/>
        <v>46088</v>
      </c>
      <c r="E264" s="3">
        <f t="shared" si="50"/>
        <v>46118</v>
      </c>
      <c r="F264" t="s">
        <v>0</v>
      </c>
      <c r="G264" t="s">
        <v>6</v>
      </c>
      <c r="L264" s="1" t="str">
        <f t="shared" si="58"/>
        <v>NA</v>
      </c>
      <c r="M264" s="1">
        <f t="shared" si="59"/>
        <v>0</v>
      </c>
      <c r="N264" s="2">
        <f t="shared" si="61"/>
        <v>30</v>
      </c>
    </row>
    <row r="265" spans="3:14" x14ac:dyDescent="0.25">
      <c r="C265">
        <v>6</v>
      </c>
      <c r="D265" s="3">
        <f t="shared" si="62"/>
        <v>46088</v>
      </c>
      <c r="E265" s="3">
        <f t="shared" si="50"/>
        <v>46118</v>
      </c>
      <c r="F265" t="s">
        <v>0</v>
      </c>
      <c r="G265" t="s">
        <v>10</v>
      </c>
      <c r="L265" s="1" t="str">
        <f t="shared" si="58"/>
        <v>NA</v>
      </c>
      <c r="M265" s="1">
        <f t="shared" si="59"/>
        <v>0</v>
      </c>
      <c r="N265" s="2">
        <f t="shared" si="61"/>
        <v>30</v>
      </c>
    </row>
    <row r="266" spans="3:14" x14ac:dyDescent="0.25">
      <c r="C266">
        <v>1</v>
      </c>
      <c r="D266" s="3">
        <f>D260+1</f>
        <v>46089</v>
      </c>
      <c r="E266" s="3">
        <f t="shared" si="50"/>
        <v>46119</v>
      </c>
      <c r="F266" t="s">
        <v>4</v>
      </c>
      <c r="G266" t="s">
        <v>6</v>
      </c>
      <c r="L266" s="1" t="str">
        <f t="shared" si="58"/>
        <v>NA</v>
      </c>
      <c r="M266" s="1">
        <f t="shared" si="59"/>
        <v>0</v>
      </c>
      <c r="N266" s="2">
        <f t="shared" si="61"/>
        <v>30</v>
      </c>
    </row>
    <row r="267" spans="3:14" x14ac:dyDescent="0.25">
      <c r="C267">
        <v>2</v>
      </c>
      <c r="D267" s="3">
        <f t="shared" ref="D267:D271" si="63">D266</f>
        <v>46089</v>
      </c>
      <c r="E267" s="3">
        <f t="shared" si="50"/>
        <v>46119</v>
      </c>
      <c r="F267" t="s">
        <v>4</v>
      </c>
      <c r="G267" t="s">
        <v>10</v>
      </c>
      <c r="L267" s="1" t="str">
        <f t="shared" si="58"/>
        <v>NA</v>
      </c>
      <c r="M267" s="1">
        <f t="shared" si="59"/>
        <v>0</v>
      </c>
      <c r="N267" s="2">
        <f t="shared" si="61"/>
        <v>30</v>
      </c>
    </row>
    <row r="268" spans="3:14" x14ac:dyDescent="0.25">
      <c r="C268">
        <v>3</v>
      </c>
      <c r="D268" s="3">
        <f t="shared" si="63"/>
        <v>46089</v>
      </c>
      <c r="E268" s="3">
        <f t="shared" si="50"/>
        <v>46119</v>
      </c>
      <c r="F268" t="s">
        <v>7</v>
      </c>
      <c r="G268" t="s">
        <v>6</v>
      </c>
      <c r="L268" s="1" t="str">
        <f t="shared" si="58"/>
        <v>NA</v>
      </c>
      <c r="M268" s="1">
        <f t="shared" si="59"/>
        <v>0</v>
      </c>
      <c r="N268" s="2">
        <f t="shared" si="61"/>
        <v>30</v>
      </c>
    </row>
    <row r="269" spans="3:14" x14ac:dyDescent="0.25">
      <c r="C269">
        <v>4</v>
      </c>
      <c r="D269" s="3">
        <f t="shared" si="63"/>
        <v>46089</v>
      </c>
      <c r="E269" s="3">
        <f t="shared" si="50"/>
        <v>46119</v>
      </c>
      <c r="F269" t="s">
        <v>7</v>
      </c>
      <c r="G269" t="s">
        <v>10</v>
      </c>
      <c r="L269" s="1" t="str">
        <f t="shared" si="58"/>
        <v>NA</v>
      </c>
      <c r="M269" s="1">
        <f t="shared" si="59"/>
        <v>0</v>
      </c>
      <c r="N269" s="2">
        <f t="shared" si="61"/>
        <v>30</v>
      </c>
    </row>
    <row r="270" spans="3:14" x14ac:dyDescent="0.25">
      <c r="C270">
        <v>5</v>
      </c>
      <c r="D270" s="3">
        <f t="shared" si="63"/>
        <v>46089</v>
      </c>
      <c r="E270" s="3">
        <f t="shared" si="50"/>
        <v>46119</v>
      </c>
      <c r="F270" t="s">
        <v>0</v>
      </c>
      <c r="G270" t="s">
        <v>6</v>
      </c>
      <c r="L270" s="1" t="str">
        <f t="shared" si="58"/>
        <v>NA</v>
      </c>
      <c r="M270" s="1">
        <f t="shared" si="59"/>
        <v>0</v>
      </c>
      <c r="N270" s="2">
        <f t="shared" si="61"/>
        <v>30</v>
      </c>
    </row>
    <row r="271" spans="3:14" x14ac:dyDescent="0.25">
      <c r="C271">
        <v>6</v>
      </c>
      <c r="D271" s="3">
        <f t="shared" si="63"/>
        <v>46089</v>
      </c>
      <c r="E271" s="3">
        <f t="shared" ref="E271:E306" si="64">D271+30</f>
        <v>46119</v>
      </c>
      <c r="F271" t="s">
        <v>0</v>
      </c>
      <c r="G271" t="s">
        <v>10</v>
      </c>
      <c r="L271" s="1" t="str">
        <f t="shared" si="58"/>
        <v>NA</v>
      </c>
      <c r="M271" s="1">
        <f t="shared" si="59"/>
        <v>0</v>
      </c>
      <c r="N271" s="2">
        <f t="shared" si="61"/>
        <v>30</v>
      </c>
    </row>
    <row r="272" spans="3:14" x14ac:dyDescent="0.25">
      <c r="C272">
        <v>1</v>
      </c>
      <c r="D272" s="3">
        <f>D266+1</f>
        <v>46090</v>
      </c>
      <c r="E272" s="3">
        <f t="shared" si="64"/>
        <v>46120</v>
      </c>
      <c r="F272" t="s">
        <v>4</v>
      </c>
      <c r="G272" t="s">
        <v>6</v>
      </c>
      <c r="L272" s="1" t="str">
        <f t="shared" si="58"/>
        <v>NA</v>
      </c>
      <c r="M272" s="1">
        <f t="shared" si="59"/>
        <v>0</v>
      </c>
      <c r="N272" s="2">
        <f t="shared" si="61"/>
        <v>30</v>
      </c>
    </row>
    <row r="273" spans="3:14" x14ac:dyDescent="0.25">
      <c r="C273">
        <v>2</v>
      </c>
      <c r="D273" s="3">
        <f t="shared" ref="D273:D277" si="65">D272</f>
        <v>46090</v>
      </c>
      <c r="E273" s="3">
        <f t="shared" si="64"/>
        <v>46120</v>
      </c>
      <c r="F273" t="s">
        <v>4</v>
      </c>
      <c r="G273" t="s">
        <v>10</v>
      </c>
      <c r="L273" s="1" t="str">
        <f t="shared" si="58"/>
        <v>NA</v>
      </c>
      <c r="M273" s="1">
        <f t="shared" si="59"/>
        <v>0</v>
      </c>
      <c r="N273" s="2">
        <f t="shared" si="61"/>
        <v>30</v>
      </c>
    </row>
    <row r="274" spans="3:14" x14ac:dyDescent="0.25">
      <c r="C274">
        <v>3</v>
      </c>
      <c r="D274" s="3">
        <f t="shared" si="65"/>
        <v>46090</v>
      </c>
      <c r="E274" s="3">
        <f t="shared" si="64"/>
        <v>46120</v>
      </c>
      <c r="F274" t="s">
        <v>7</v>
      </c>
      <c r="G274" t="s">
        <v>6</v>
      </c>
      <c r="L274" s="1" t="str">
        <f t="shared" si="58"/>
        <v>NA</v>
      </c>
      <c r="M274" s="1">
        <f t="shared" si="59"/>
        <v>0</v>
      </c>
      <c r="N274" s="2">
        <f t="shared" si="61"/>
        <v>30</v>
      </c>
    </row>
    <row r="275" spans="3:14" x14ac:dyDescent="0.25">
      <c r="C275">
        <v>4</v>
      </c>
      <c r="D275" s="3">
        <f t="shared" si="65"/>
        <v>46090</v>
      </c>
      <c r="E275" s="3">
        <f t="shared" si="64"/>
        <v>46120</v>
      </c>
      <c r="F275" t="s">
        <v>7</v>
      </c>
      <c r="G275" t="s">
        <v>10</v>
      </c>
      <c r="L275" s="1" t="str">
        <f t="shared" si="58"/>
        <v>NA</v>
      </c>
      <c r="M275" s="1">
        <f t="shared" si="59"/>
        <v>0</v>
      </c>
      <c r="N275" s="2">
        <f t="shared" si="61"/>
        <v>30</v>
      </c>
    </row>
    <row r="276" spans="3:14" x14ac:dyDescent="0.25">
      <c r="C276">
        <v>5</v>
      </c>
      <c r="D276" s="3">
        <f t="shared" si="65"/>
        <v>46090</v>
      </c>
      <c r="E276" s="3">
        <f t="shared" si="64"/>
        <v>46120</v>
      </c>
      <c r="F276" t="s">
        <v>0</v>
      </c>
      <c r="G276" t="s">
        <v>6</v>
      </c>
      <c r="L276" s="1" t="str">
        <f t="shared" si="58"/>
        <v>NA</v>
      </c>
      <c r="M276" s="1">
        <f t="shared" si="59"/>
        <v>0</v>
      </c>
      <c r="N276" s="2">
        <f t="shared" si="61"/>
        <v>30</v>
      </c>
    </row>
    <row r="277" spans="3:14" x14ac:dyDescent="0.25">
      <c r="C277">
        <v>6</v>
      </c>
      <c r="D277" s="3">
        <f t="shared" si="65"/>
        <v>46090</v>
      </c>
      <c r="E277" s="3">
        <f t="shared" si="64"/>
        <v>46120</v>
      </c>
      <c r="F277" t="s">
        <v>0</v>
      </c>
      <c r="G277" t="s">
        <v>10</v>
      </c>
      <c r="L277" s="1" t="str">
        <f t="shared" si="58"/>
        <v>NA</v>
      </c>
      <c r="M277" s="1">
        <f t="shared" si="59"/>
        <v>0</v>
      </c>
      <c r="N277" s="2">
        <f t="shared" si="61"/>
        <v>30</v>
      </c>
    </row>
    <row r="278" spans="3:14" x14ac:dyDescent="0.25">
      <c r="C278">
        <v>1</v>
      </c>
      <c r="D278" s="3">
        <f>D272+1</f>
        <v>46091</v>
      </c>
      <c r="E278" s="3">
        <f t="shared" si="64"/>
        <v>46121</v>
      </c>
      <c r="F278" t="s">
        <v>4</v>
      </c>
      <c r="G278" t="s">
        <v>6</v>
      </c>
      <c r="L278" s="1" t="str">
        <f t="shared" si="58"/>
        <v>NA</v>
      </c>
      <c r="M278" s="1">
        <f t="shared" si="59"/>
        <v>0</v>
      </c>
      <c r="N278" s="2">
        <f t="shared" si="61"/>
        <v>30</v>
      </c>
    </row>
    <row r="279" spans="3:14" x14ac:dyDescent="0.25">
      <c r="C279">
        <v>2</v>
      </c>
      <c r="D279" s="3">
        <f t="shared" ref="D279:D283" si="66">D278</f>
        <v>46091</v>
      </c>
      <c r="E279" s="3">
        <f t="shared" si="64"/>
        <v>46121</v>
      </c>
      <c r="F279" t="s">
        <v>4</v>
      </c>
      <c r="G279" t="s">
        <v>10</v>
      </c>
      <c r="L279" s="1" t="str">
        <f t="shared" si="58"/>
        <v>NA</v>
      </c>
      <c r="M279" s="1">
        <f t="shared" si="59"/>
        <v>0</v>
      </c>
      <c r="N279" s="2">
        <f t="shared" si="61"/>
        <v>30</v>
      </c>
    </row>
    <row r="280" spans="3:14" x14ac:dyDescent="0.25">
      <c r="C280">
        <v>3</v>
      </c>
      <c r="D280" s="3">
        <f t="shared" si="66"/>
        <v>46091</v>
      </c>
      <c r="E280" s="3">
        <f t="shared" si="64"/>
        <v>46121</v>
      </c>
      <c r="F280" t="s">
        <v>7</v>
      </c>
      <c r="G280" t="s">
        <v>6</v>
      </c>
      <c r="L280" s="1" t="str">
        <f t="shared" si="58"/>
        <v>NA</v>
      </c>
      <c r="M280" s="1">
        <f t="shared" si="59"/>
        <v>0</v>
      </c>
      <c r="N280" s="2">
        <f t="shared" si="61"/>
        <v>30</v>
      </c>
    </row>
    <row r="281" spans="3:14" x14ac:dyDescent="0.25">
      <c r="C281">
        <v>4</v>
      </c>
      <c r="D281" s="3">
        <f t="shared" si="66"/>
        <v>46091</v>
      </c>
      <c r="E281" s="3">
        <f t="shared" si="64"/>
        <v>46121</v>
      </c>
      <c r="F281" t="s">
        <v>7</v>
      </c>
      <c r="G281" t="s">
        <v>10</v>
      </c>
      <c r="L281" s="1" t="str">
        <f t="shared" si="58"/>
        <v>NA</v>
      </c>
      <c r="M281" s="1">
        <f t="shared" si="59"/>
        <v>0</v>
      </c>
      <c r="N281" s="2">
        <f t="shared" si="61"/>
        <v>30</v>
      </c>
    </row>
    <row r="282" spans="3:14" x14ac:dyDescent="0.25">
      <c r="C282">
        <v>5</v>
      </c>
      <c r="D282" s="3">
        <f t="shared" si="66"/>
        <v>46091</v>
      </c>
      <c r="E282" s="3">
        <f t="shared" si="64"/>
        <v>46121</v>
      </c>
      <c r="F282" t="s">
        <v>0</v>
      </c>
      <c r="G282" t="s">
        <v>6</v>
      </c>
      <c r="L282" s="1" t="str">
        <f t="shared" si="58"/>
        <v>NA</v>
      </c>
      <c r="M282" s="1">
        <f t="shared" si="59"/>
        <v>0</v>
      </c>
      <c r="N282" s="2">
        <f t="shared" si="61"/>
        <v>30</v>
      </c>
    </row>
    <row r="283" spans="3:14" x14ac:dyDescent="0.25">
      <c r="C283">
        <v>6</v>
      </c>
      <c r="D283" s="3">
        <f t="shared" si="66"/>
        <v>46091</v>
      </c>
      <c r="E283" s="3">
        <f t="shared" si="64"/>
        <v>46121</v>
      </c>
      <c r="F283" t="s">
        <v>0</v>
      </c>
      <c r="G283" t="s">
        <v>10</v>
      </c>
      <c r="L283" s="1" t="str">
        <f t="shared" si="58"/>
        <v>NA</v>
      </c>
      <c r="M283" s="1">
        <f t="shared" si="59"/>
        <v>0</v>
      </c>
      <c r="N283" s="2">
        <f t="shared" si="61"/>
        <v>30</v>
      </c>
    </row>
    <row r="284" spans="3:14" x14ac:dyDescent="0.25">
      <c r="C284">
        <v>1</v>
      </c>
      <c r="D284" s="3">
        <f>D278+1</f>
        <v>46092</v>
      </c>
      <c r="E284" s="3">
        <f t="shared" si="64"/>
        <v>46122</v>
      </c>
      <c r="F284" t="s">
        <v>4</v>
      </c>
      <c r="G284" t="s">
        <v>6</v>
      </c>
      <c r="L284" s="1" t="str">
        <f t="shared" si="58"/>
        <v>NA</v>
      </c>
      <c r="M284" s="1">
        <f t="shared" si="59"/>
        <v>0</v>
      </c>
      <c r="N284" s="2">
        <f t="shared" si="61"/>
        <v>30</v>
      </c>
    </row>
    <row r="285" spans="3:14" x14ac:dyDescent="0.25">
      <c r="C285">
        <v>2</v>
      </c>
      <c r="D285" s="3">
        <f t="shared" ref="D285:D289" si="67">D284</f>
        <v>46092</v>
      </c>
      <c r="E285" s="3">
        <f t="shared" si="64"/>
        <v>46122</v>
      </c>
      <c r="F285" t="s">
        <v>4</v>
      </c>
      <c r="G285" t="s">
        <v>10</v>
      </c>
      <c r="L285" s="1" t="str">
        <f t="shared" si="58"/>
        <v>NA</v>
      </c>
      <c r="M285" s="1">
        <f t="shared" si="59"/>
        <v>0</v>
      </c>
      <c r="N285" s="2">
        <f t="shared" si="61"/>
        <v>30</v>
      </c>
    </row>
    <row r="286" spans="3:14" x14ac:dyDescent="0.25">
      <c r="C286">
        <v>3</v>
      </c>
      <c r="D286" s="3">
        <f t="shared" si="67"/>
        <v>46092</v>
      </c>
      <c r="E286" s="3">
        <f t="shared" si="64"/>
        <v>46122</v>
      </c>
      <c r="F286" t="s">
        <v>7</v>
      </c>
      <c r="G286" t="s">
        <v>6</v>
      </c>
      <c r="L286" s="1" t="str">
        <f t="shared" si="58"/>
        <v>NA</v>
      </c>
      <c r="M286" s="1">
        <f t="shared" si="59"/>
        <v>0</v>
      </c>
      <c r="N286" s="2">
        <f t="shared" si="61"/>
        <v>30</v>
      </c>
    </row>
    <row r="287" spans="3:14" x14ac:dyDescent="0.25">
      <c r="C287">
        <v>4</v>
      </c>
      <c r="D287" s="3">
        <f t="shared" si="67"/>
        <v>46092</v>
      </c>
      <c r="E287" s="3">
        <f t="shared" si="64"/>
        <v>46122</v>
      </c>
      <c r="F287" t="s">
        <v>7</v>
      </c>
      <c r="G287" t="s">
        <v>10</v>
      </c>
      <c r="L287" s="1" t="str">
        <f t="shared" si="58"/>
        <v>NA</v>
      </c>
      <c r="M287" s="1">
        <f t="shared" si="59"/>
        <v>0</v>
      </c>
      <c r="N287" s="2">
        <f t="shared" si="61"/>
        <v>30</v>
      </c>
    </row>
    <row r="288" spans="3:14" x14ac:dyDescent="0.25">
      <c r="C288">
        <v>5</v>
      </c>
      <c r="D288" s="3">
        <f t="shared" si="67"/>
        <v>46092</v>
      </c>
      <c r="E288" s="3">
        <f t="shared" si="64"/>
        <v>46122</v>
      </c>
      <c r="F288" t="s">
        <v>0</v>
      </c>
      <c r="G288" t="s">
        <v>6</v>
      </c>
      <c r="L288" s="1" t="str">
        <f t="shared" si="58"/>
        <v>NA</v>
      </c>
      <c r="M288" s="1">
        <f t="shared" si="59"/>
        <v>0</v>
      </c>
      <c r="N288" s="2">
        <f t="shared" si="61"/>
        <v>30</v>
      </c>
    </row>
    <row r="289" spans="3:14" x14ac:dyDescent="0.25">
      <c r="C289">
        <v>6</v>
      </c>
      <c r="D289" s="3">
        <f t="shared" si="67"/>
        <v>46092</v>
      </c>
      <c r="E289" s="3">
        <f t="shared" si="64"/>
        <v>46122</v>
      </c>
      <c r="F289" t="s">
        <v>0</v>
      </c>
      <c r="G289" t="s">
        <v>10</v>
      </c>
      <c r="L289" s="1" t="str">
        <f t="shared" si="58"/>
        <v>NA</v>
      </c>
      <c r="M289" s="1">
        <f t="shared" si="59"/>
        <v>0</v>
      </c>
      <c r="N289" s="2">
        <f t="shared" si="61"/>
        <v>30</v>
      </c>
    </row>
    <row r="290" spans="3:14" x14ac:dyDescent="0.25">
      <c r="C290">
        <v>1</v>
      </c>
      <c r="D290" s="3">
        <f>D284+1</f>
        <v>46093</v>
      </c>
      <c r="E290" s="3">
        <f t="shared" si="64"/>
        <v>46123</v>
      </c>
      <c r="F290" t="s">
        <v>4</v>
      </c>
      <c r="G290" t="s">
        <v>6</v>
      </c>
      <c r="L290" s="1" t="str">
        <f t="shared" ref="L290:L353" si="68">IFERROR(I290/H290,"NA")</f>
        <v>NA</v>
      </c>
      <c r="M290" s="1">
        <f t="shared" ref="M290:M353" si="69">IFERROR(J290/I290,0)</f>
        <v>0</v>
      </c>
      <c r="N290" s="2">
        <f t="shared" si="61"/>
        <v>30</v>
      </c>
    </row>
    <row r="291" spans="3:14" x14ac:dyDescent="0.25">
      <c r="C291">
        <v>2</v>
      </c>
      <c r="D291" s="3">
        <f t="shared" ref="D291:D295" si="70">D290</f>
        <v>46093</v>
      </c>
      <c r="E291" s="3">
        <f t="shared" si="64"/>
        <v>46123</v>
      </c>
      <c r="F291" t="s">
        <v>4</v>
      </c>
      <c r="G291" t="s">
        <v>10</v>
      </c>
      <c r="L291" s="1" t="str">
        <f t="shared" si="68"/>
        <v>NA</v>
      </c>
      <c r="M291" s="1">
        <f t="shared" si="69"/>
        <v>0</v>
      </c>
      <c r="N291" s="2">
        <f t="shared" si="61"/>
        <v>30</v>
      </c>
    </row>
    <row r="292" spans="3:14" x14ac:dyDescent="0.25">
      <c r="C292">
        <v>3</v>
      </c>
      <c r="D292" s="3">
        <f t="shared" si="70"/>
        <v>46093</v>
      </c>
      <c r="E292" s="3">
        <f t="shared" si="64"/>
        <v>46123</v>
      </c>
      <c r="F292" t="s">
        <v>7</v>
      </c>
      <c r="G292" t="s">
        <v>6</v>
      </c>
      <c r="L292" s="1" t="str">
        <f t="shared" si="68"/>
        <v>NA</v>
      </c>
      <c r="M292" s="1">
        <f t="shared" si="69"/>
        <v>0</v>
      </c>
      <c r="N292" s="2">
        <f t="shared" si="61"/>
        <v>30</v>
      </c>
    </row>
    <row r="293" spans="3:14" x14ac:dyDescent="0.25">
      <c r="C293">
        <v>4</v>
      </c>
      <c r="D293" s="3">
        <f t="shared" si="70"/>
        <v>46093</v>
      </c>
      <c r="E293" s="3">
        <f t="shared" si="64"/>
        <v>46123</v>
      </c>
      <c r="F293" t="s">
        <v>7</v>
      </c>
      <c r="G293" t="s">
        <v>10</v>
      </c>
      <c r="L293" s="1" t="str">
        <f t="shared" si="68"/>
        <v>NA</v>
      </c>
      <c r="M293" s="1">
        <f t="shared" si="69"/>
        <v>0</v>
      </c>
      <c r="N293" s="2">
        <f t="shared" si="61"/>
        <v>30</v>
      </c>
    </row>
    <row r="294" spans="3:14" x14ac:dyDescent="0.25">
      <c r="C294">
        <v>5</v>
      </c>
      <c r="D294" s="3">
        <f t="shared" si="70"/>
        <v>46093</v>
      </c>
      <c r="E294" s="3">
        <f t="shared" si="64"/>
        <v>46123</v>
      </c>
      <c r="F294" t="s">
        <v>0</v>
      </c>
      <c r="G294" t="s">
        <v>6</v>
      </c>
      <c r="L294" s="1" t="str">
        <f t="shared" si="68"/>
        <v>NA</v>
      </c>
      <c r="M294" s="1">
        <f t="shared" si="69"/>
        <v>0</v>
      </c>
      <c r="N294" s="2">
        <f t="shared" si="61"/>
        <v>30</v>
      </c>
    </row>
    <row r="295" spans="3:14" x14ac:dyDescent="0.25">
      <c r="C295">
        <v>6</v>
      </c>
      <c r="D295" s="3">
        <f t="shared" si="70"/>
        <v>46093</v>
      </c>
      <c r="E295" s="3">
        <f t="shared" si="64"/>
        <v>46123</v>
      </c>
      <c r="F295" t="s">
        <v>0</v>
      </c>
      <c r="G295" t="s">
        <v>10</v>
      </c>
      <c r="L295" s="1" t="str">
        <f t="shared" si="68"/>
        <v>NA</v>
      </c>
      <c r="M295" s="1">
        <f t="shared" si="69"/>
        <v>0</v>
      </c>
      <c r="N295" s="2">
        <f t="shared" si="61"/>
        <v>30</v>
      </c>
    </row>
    <row r="296" spans="3:14" x14ac:dyDescent="0.25">
      <c r="C296">
        <v>1</v>
      </c>
      <c r="D296" s="3">
        <f>D290+1</f>
        <v>46094</v>
      </c>
      <c r="E296" s="3">
        <f t="shared" si="64"/>
        <v>46124</v>
      </c>
      <c r="F296" t="s">
        <v>4</v>
      </c>
      <c r="G296" t="s">
        <v>6</v>
      </c>
      <c r="L296" s="1" t="str">
        <f t="shared" si="68"/>
        <v>NA</v>
      </c>
      <c r="M296" s="1">
        <f t="shared" si="69"/>
        <v>0</v>
      </c>
      <c r="N296" s="2">
        <f t="shared" si="61"/>
        <v>30</v>
      </c>
    </row>
    <row r="297" spans="3:14" x14ac:dyDescent="0.25">
      <c r="C297">
        <v>2</v>
      </c>
      <c r="D297" s="3">
        <f t="shared" ref="D297:D301" si="71">D296</f>
        <v>46094</v>
      </c>
      <c r="E297" s="3">
        <f t="shared" si="64"/>
        <v>46124</v>
      </c>
      <c r="F297" t="s">
        <v>4</v>
      </c>
      <c r="G297" t="s">
        <v>10</v>
      </c>
      <c r="L297" s="1" t="str">
        <f t="shared" si="68"/>
        <v>NA</v>
      </c>
      <c r="M297" s="1">
        <f t="shared" si="69"/>
        <v>0</v>
      </c>
      <c r="N297" s="2">
        <f t="shared" si="61"/>
        <v>30</v>
      </c>
    </row>
    <row r="298" spans="3:14" x14ac:dyDescent="0.25">
      <c r="C298">
        <v>3</v>
      </c>
      <c r="D298" s="3">
        <f t="shared" si="71"/>
        <v>46094</v>
      </c>
      <c r="E298" s="3">
        <f t="shared" si="64"/>
        <v>46124</v>
      </c>
      <c r="F298" t="s">
        <v>7</v>
      </c>
      <c r="G298" t="s">
        <v>6</v>
      </c>
      <c r="L298" s="1" t="str">
        <f t="shared" si="68"/>
        <v>NA</v>
      </c>
      <c r="M298" s="1">
        <f t="shared" si="69"/>
        <v>0</v>
      </c>
      <c r="N298" s="2">
        <f t="shared" si="61"/>
        <v>30</v>
      </c>
    </row>
    <row r="299" spans="3:14" x14ac:dyDescent="0.25">
      <c r="C299">
        <v>4</v>
      </c>
      <c r="D299" s="3">
        <f t="shared" si="71"/>
        <v>46094</v>
      </c>
      <c r="E299" s="3">
        <f t="shared" si="64"/>
        <v>46124</v>
      </c>
      <c r="F299" t="s">
        <v>7</v>
      </c>
      <c r="G299" t="s">
        <v>10</v>
      </c>
      <c r="L299" s="1" t="str">
        <f t="shared" si="68"/>
        <v>NA</v>
      </c>
      <c r="M299" s="1">
        <f t="shared" si="69"/>
        <v>0</v>
      </c>
      <c r="N299" s="2">
        <f t="shared" si="61"/>
        <v>30</v>
      </c>
    </row>
    <row r="300" spans="3:14" x14ac:dyDescent="0.25">
      <c r="C300">
        <v>5</v>
      </c>
      <c r="D300" s="3">
        <f t="shared" si="71"/>
        <v>46094</v>
      </c>
      <c r="E300" s="3">
        <f t="shared" si="64"/>
        <v>46124</v>
      </c>
      <c r="F300" t="s">
        <v>0</v>
      </c>
      <c r="G300" t="s">
        <v>6</v>
      </c>
      <c r="L300" s="1" t="str">
        <f t="shared" si="68"/>
        <v>NA</v>
      </c>
      <c r="M300" s="1">
        <f t="shared" si="69"/>
        <v>0</v>
      </c>
      <c r="N300" s="2">
        <f t="shared" si="61"/>
        <v>30</v>
      </c>
    </row>
    <row r="301" spans="3:14" x14ac:dyDescent="0.25">
      <c r="C301">
        <v>6</v>
      </c>
      <c r="D301" s="3">
        <f t="shared" si="71"/>
        <v>46094</v>
      </c>
      <c r="E301" s="3">
        <f t="shared" si="64"/>
        <v>46124</v>
      </c>
      <c r="F301" t="s">
        <v>0</v>
      </c>
      <c r="G301" t="s">
        <v>10</v>
      </c>
      <c r="L301" s="1" t="str">
        <f t="shared" si="68"/>
        <v>NA</v>
      </c>
      <c r="M301" s="1">
        <f t="shared" si="69"/>
        <v>0</v>
      </c>
      <c r="N301" s="2">
        <f t="shared" si="61"/>
        <v>30</v>
      </c>
    </row>
    <row r="302" spans="3:14" x14ac:dyDescent="0.25">
      <c r="C302">
        <v>1</v>
      </c>
      <c r="D302" s="3">
        <f>D296+1</f>
        <v>46095</v>
      </c>
      <c r="E302" s="3">
        <f t="shared" si="64"/>
        <v>46125</v>
      </c>
      <c r="F302" t="s">
        <v>4</v>
      </c>
      <c r="G302" t="s">
        <v>6</v>
      </c>
      <c r="L302" s="1" t="str">
        <f t="shared" si="68"/>
        <v>NA</v>
      </c>
      <c r="M302" s="1">
        <f t="shared" si="69"/>
        <v>0</v>
      </c>
      <c r="N302" s="2">
        <f t="shared" si="61"/>
        <v>30</v>
      </c>
    </row>
    <row r="303" spans="3:14" x14ac:dyDescent="0.25">
      <c r="C303">
        <v>2</v>
      </c>
      <c r="D303" s="3">
        <f t="shared" ref="D303:D307" si="72">D302</f>
        <v>46095</v>
      </c>
      <c r="E303" s="3">
        <f t="shared" si="64"/>
        <v>46125</v>
      </c>
      <c r="F303" t="s">
        <v>4</v>
      </c>
      <c r="G303" t="s">
        <v>10</v>
      </c>
      <c r="L303" s="1" t="str">
        <f t="shared" si="68"/>
        <v>NA</v>
      </c>
      <c r="M303" s="1">
        <f t="shared" si="69"/>
        <v>0</v>
      </c>
      <c r="N303" s="2">
        <f t="shared" si="61"/>
        <v>30</v>
      </c>
    </row>
    <row r="304" spans="3:14" x14ac:dyDescent="0.25">
      <c r="C304">
        <v>3</v>
      </c>
      <c r="D304" s="3">
        <f t="shared" si="72"/>
        <v>46095</v>
      </c>
      <c r="E304" s="3">
        <f t="shared" si="64"/>
        <v>46125</v>
      </c>
      <c r="F304" t="s">
        <v>7</v>
      </c>
      <c r="G304" t="s">
        <v>6</v>
      </c>
      <c r="L304" s="1" t="str">
        <f t="shared" si="68"/>
        <v>NA</v>
      </c>
      <c r="M304" s="1">
        <f t="shared" si="69"/>
        <v>0</v>
      </c>
      <c r="N304" s="2">
        <f t="shared" si="61"/>
        <v>30</v>
      </c>
    </row>
    <row r="305" spans="3:14" x14ac:dyDescent="0.25">
      <c r="C305">
        <v>4</v>
      </c>
      <c r="D305" s="3">
        <f t="shared" si="72"/>
        <v>46095</v>
      </c>
      <c r="E305" s="3">
        <f t="shared" si="64"/>
        <v>46125</v>
      </c>
      <c r="F305" t="s">
        <v>7</v>
      </c>
      <c r="G305" t="s">
        <v>10</v>
      </c>
      <c r="L305" s="1" t="str">
        <f t="shared" si="68"/>
        <v>NA</v>
      </c>
      <c r="M305" s="1">
        <f t="shared" si="69"/>
        <v>0</v>
      </c>
      <c r="N305" s="2">
        <f t="shared" si="61"/>
        <v>30</v>
      </c>
    </row>
    <row r="306" spans="3:14" x14ac:dyDescent="0.25">
      <c r="C306">
        <v>5</v>
      </c>
      <c r="D306" s="3">
        <f t="shared" si="72"/>
        <v>46095</v>
      </c>
      <c r="E306" s="3">
        <f t="shared" si="64"/>
        <v>46125</v>
      </c>
      <c r="F306" t="s">
        <v>0</v>
      </c>
      <c r="G306" t="s">
        <v>6</v>
      </c>
      <c r="L306" s="1" t="str">
        <f t="shared" si="68"/>
        <v>NA</v>
      </c>
      <c r="M306" s="1">
        <f t="shared" si="69"/>
        <v>0</v>
      </c>
      <c r="N306" s="2">
        <f t="shared" si="61"/>
        <v>30</v>
      </c>
    </row>
    <row r="307" spans="3:14" x14ac:dyDescent="0.25">
      <c r="C307">
        <v>6</v>
      </c>
      <c r="D307" s="3">
        <f t="shared" si="72"/>
        <v>46095</v>
      </c>
      <c r="E307" s="3">
        <f t="shared" ref="E307:E370" si="73">D307+30</f>
        <v>46125</v>
      </c>
      <c r="F307" t="s">
        <v>0</v>
      </c>
      <c r="G307" t="s">
        <v>10</v>
      </c>
      <c r="L307" s="1" t="str">
        <f t="shared" si="68"/>
        <v>NA</v>
      </c>
      <c r="M307" s="1">
        <f t="shared" si="69"/>
        <v>0</v>
      </c>
      <c r="N307" s="2">
        <f t="shared" si="61"/>
        <v>30</v>
      </c>
    </row>
    <row r="308" spans="3:14" x14ac:dyDescent="0.25">
      <c r="C308">
        <v>1</v>
      </c>
      <c r="D308" s="3">
        <f>D302+1</f>
        <v>46096</v>
      </c>
      <c r="E308" s="3">
        <f t="shared" si="73"/>
        <v>46126</v>
      </c>
      <c r="F308" t="s">
        <v>4</v>
      </c>
      <c r="G308" t="s">
        <v>6</v>
      </c>
      <c r="L308" s="1" t="str">
        <f t="shared" si="68"/>
        <v>NA</v>
      </c>
      <c r="M308" s="1">
        <f t="shared" si="69"/>
        <v>0</v>
      </c>
      <c r="N308" s="2">
        <f t="shared" si="61"/>
        <v>30</v>
      </c>
    </row>
    <row r="309" spans="3:14" x14ac:dyDescent="0.25">
      <c r="C309">
        <v>2</v>
      </c>
      <c r="D309" s="3">
        <f t="shared" ref="D309:D313" si="74">D308</f>
        <v>46096</v>
      </c>
      <c r="E309" s="3">
        <f t="shared" si="73"/>
        <v>46126</v>
      </c>
      <c r="F309" t="s">
        <v>4</v>
      </c>
      <c r="G309" t="s">
        <v>10</v>
      </c>
      <c r="L309" s="1" t="str">
        <f t="shared" si="68"/>
        <v>NA</v>
      </c>
      <c r="M309" s="1">
        <f t="shared" si="69"/>
        <v>0</v>
      </c>
      <c r="N309" s="2">
        <f t="shared" si="61"/>
        <v>30</v>
      </c>
    </row>
    <row r="310" spans="3:14" x14ac:dyDescent="0.25">
      <c r="C310">
        <v>3</v>
      </c>
      <c r="D310" s="3">
        <f t="shared" si="74"/>
        <v>46096</v>
      </c>
      <c r="E310" s="3">
        <f t="shared" si="73"/>
        <v>46126</v>
      </c>
      <c r="F310" t="s">
        <v>7</v>
      </c>
      <c r="G310" t="s">
        <v>6</v>
      </c>
      <c r="L310" s="1" t="str">
        <f t="shared" si="68"/>
        <v>NA</v>
      </c>
      <c r="M310" s="1">
        <f t="shared" si="69"/>
        <v>0</v>
      </c>
      <c r="N310" s="2">
        <f t="shared" si="61"/>
        <v>30</v>
      </c>
    </row>
    <row r="311" spans="3:14" x14ac:dyDescent="0.25">
      <c r="C311">
        <v>4</v>
      </c>
      <c r="D311" s="3">
        <f t="shared" si="74"/>
        <v>46096</v>
      </c>
      <c r="E311" s="3">
        <f t="shared" si="73"/>
        <v>46126</v>
      </c>
      <c r="F311" t="s">
        <v>7</v>
      </c>
      <c r="G311" t="s">
        <v>10</v>
      </c>
      <c r="L311" s="1" t="str">
        <f t="shared" si="68"/>
        <v>NA</v>
      </c>
      <c r="M311" s="1">
        <f t="shared" si="69"/>
        <v>0</v>
      </c>
      <c r="N311" s="2">
        <f t="shared" si="61"/>
        <v>30</v>
      </c>
    </row>
    <row r="312" spans="3:14" x14ac:dyDescent="0.25">
      <c r="C312">
        <v>5</v>
      </c>
      <c r="D312" s="3">
        <f t="shared" si="74"/>
        <v>46096</v>
      </c>
      <c r="E312" s="3">
        <f t="shared" si="73"/>
        <v>46126</v>
      </c>
      <c r="F312" t="s">
        <v>0</v>
      </c>
      <c r="G312" t="s">
        <v>6</v>
      </c>
      <c r="L312" s="1" t="str">
        <f t="shared" si="68"/>
        <v>NA</v>
      </c>
      <c r="M312" s="1">
        <f t="shared" si="69"/>
        <v>0</v>
      </c>
      <c r="N312" s="2">
        <f t="shared" si="61"/>
        <v>30</v>
      </c>
    </row>
    <row r="313" spans="3:14" x14ac:dyDescent="0.25">
      <c r="C313">
        <v>6</v>
      </c>
      <c r="D313" s="3">
        <f t="shared" si="74"/>
        <v>46096</v>
      </c>
      <c r="E313" s="3">
        <f t="shared" si="73"/>
        <v>46126</v>
      </c>
      <c r="F313" t="s">
        <v>0</v>
      </c>
      <c r="G313" t="s">
        <v>10</v>
      </c>
      <c r="L313" s="1" t="str">
        <f t="shared" si="68"/>
        <v>NA</v>
      </c>
      <c r="M313" s="1">
        <f t="shared" si="69"/>
        <v>0</v>
      </c>
      <c r="N313" s="2">
        <f t="shared" si="61"/>
        <v>30</v>
      </c>
    </row>
    <row r="314" spans="3:14" x14ac:dyDescent="0.25">
      <c r="C314">
        <v>1</v>
      </c>
      <c r="D314" s="3">
        <f>D308+1</f>
        <v>46097</v>
      </c>
      <c r="E314" s="3">
        <f t="shared" si="73"/>
        <v>46127</v>
      </c>
      <c r="F314" t="s">
        <v>4</v>
      </c>
      <c r="G314" t="s">
        <v>6</v>
      </c>
      <c r="L314" s="1" t="str">
        <f t="shared" si="68"/>
        <v>NA</v>
      </c>
      <c r="M314" s="1">
        <f t="shared" si="69"/>
        <v>0</v>
      </c>
      <c r="N314" s="2">
        <f t="shared" si="61"/>
        <v>30</v>
      </c>
    </row>
    <row r="315" spans="3:14" x14ac:dyDescent="0.25">
      <c r="C315">
        <v>2</v>
      </c>
      <c r="D315" s="3">
        <f t="shared" ref="D315:D319" si="75">D314</f>
        <v>46097</v>
      </c>
      <c r="E315" s="3">
        <f t="shared" si="73"/>
        <v>46127</v>
      </c>
      <c r="F315" t="s">
        <v>4</v>
      </c>
      <c r="G315" t="s">
        <v>10</v>
      </c>
      <c r="L315" s="1" t="str">
        <f t="shared" si="68"/>
        <v>NA</v>
      </c>
      <c r="M315" s="1">
        <f t="shared" si="69"/>
        <v>0</v>
      </c>
      <c r="N315" s="2">
        <f t="shared" si="61"/>
        <v>30</v>
      </c>
    </row>
    <row r="316" spans="3:14" x14ac:dyDescent="0.25">
      <c r="C316">
        <v>3</v>
      </c>
      <c r="D316" s="3">
        <f t="shared" si="75"/>
        <v>46097</v>
      </c>
      <c r="E316" s="3">
        <f t="shared" si="73"/>
        <v>46127</v>
      </c>
      <c r="F316" t="s">
        <v>7</v>
      </c>
      <c r="G316" t="s">
        <v>6</v>
      </c>
      <c r="L316" s="1" t="str">
        <f t="shared" si="68"/>
        <v>NA</v>
      </c>
      <c r="M316" s="1">
        <f t="shared" si="69"/>
        <v>0</v>
      </c>
      <c r="N316" s="2">
        <f t="shared" si="61"/>
        <v>30</v>
      </c>
    </row>
    <row r="317" spans="3:14" x14ac:dyDescent="0.25">
      <c r="C317">
        <v>4</v>
      </c>
      <c r="D317" s="3">
        <f t="shared" si="75"/>
        <v>46097</v>
      </c>
      <c r="E317" s="3">
        <f t="shared" si="73"/>
        <v>46127</v>
      </c>
      <c r="F317" t="s">
        <v>7</v>
      </c>
      <c r="G317" t="s">
        <v>10</v>
      </c>
      <c r="L317" s="1" t="str">
        <f t="shared" si="68"/>
        <v>NA</v>
      </c>
      <c r="M317" s="1">
        <f t="shared" si="69"/>
        <v>0</v>
      </c>
      <c r="N317" s="2">
        <f t="shared" si="61"/>
        <v>30</v>
      </c>
    </row>
    <row r="318" spans="3:14" x14ac:dyDescent="0.25">
      <c r="C318">
        <v>5</v>
      </c>
      <c r="D318" s="3">
        <f t="shared" si="75"/>
        <v>46097</v>
      </c>
      <c r="E318" s="3">
        <f t="shared" si="73"/>
        <v>46127</v>
      </c>
      <c r="F318" t="s">
        <v>0</v>
      </c>
      <c r="G318" t="s">
        <v>6</v>
      </c>
      <c r="L318" s="1" t="str">
        <f t="shared" si="68"/>
        <v>NA</v>
      </c>
      <c r="M318" s="1">
        <f t="shared" si="69"/>
        <v>0</v>
      </c>
      <c r="N318" s="2">
        <f t="shared" si="61"/>
        <v>30</v>
      </c>
    </row>
    <row r="319" spans="3:14" x14ac:dyDescent="0.25">
      <c r="C319">
        <v>6</v>
      </c>
      <c r="D319" s="3">
        <f t="shared" si="75"/>
        <v>46097</v>
      </c>
      <c r="E319" s="3">
        <f t="shared" si="73"/>
        <v>46127</v>
      </c>
      <c r="F319" t="s">
        <v>0</v>
      </c>
      <c r="G319" t="s">
        <v>10</v>
      </c>
      <c r="L319" s="1" t="str">
        <f t="shared" si="68"/>
        <v>NA</v>
      </c>
      <c r="M319" s="1">
        <f t="shared" si="69"/>
        <v>0</v>
      </c>
      <c r="N319" s="2">
        <f t="shared" si="61"/>
        <v>30</v>
      </c>
    </row>
    <row r="320" spans="3:14" x14ac:dyDescent="0.25">
      <c r="C320">
        <v>1</v>
      </c>
      <c r="D320" s="3">
        <f>D314+1</f>
        <v>46098</v>
      </c>
      <c r="E320" s="3">
        <f t="shared" si="73"/>
        <v>46128</v>
      </c>
      <c r="F320" t="s">
        <v>4</v>
      </c>
      <c r="G320" t="s">
        <v>6</v>
      </c>
      <c r="L320" s="1" t="str">
        <f t="shared" si="68"/>
        <v>NA</v>
      </c>
      <c r="M320" s="1">
        <f t="shared" si="69"/>
        <v>0</v>
      </c>
      <c r="N320" s="2">
        <f t="shared" si="61"/>
        <v>30</v>
      </c>
    </row>
    <row r="321" spans="3:14" x14ac:dyDescent="0.25">
      <c r="C321">
        <v>2</v>
      </c>
      <c r="D321" s="3">
        <f t="shared" ref="D321:D325" si="76">D320</f>
        <v>46098</v>
      </c>
      <c r="E321" s="3">
        <f t="shared" si="73"/>
        <v>46128</v>
      </c>
      <c r="F321" t="s">
        <v>4</v>
      </c>
      <c r="G321" t="s">
        <v>10</v>
      </c>
      <c r="L321" s="1" t="str">
        <f t="shared" si="68"/>
        <v>NA</v>
      </c>
      <c r="M321" s="1">
        <f t="shared" si="69"/>
        <v>0</v>
      </c>
      <c r="N321" s="2">
        <f t="shared" si="61"/>
        <v>30</v>
      </c>
    </row>
    <row r="322" spans="3:14" x14ac:dyDescent="0.25">
      <c r="C322">
        <v>3</v>
      </c>
      <c r="D322" s="3">
        <f t="shared" si="76"/>
        <v>46098</v>
      </c>
      <c r="E322" s="3">
        <f t="shared" si="73"/>
        <v>46128</v>
      </c>
      <c r="F322" t="s">
        <v>7</v>
      </c>
      <c r="G322" t="s">
        <v>6</v>
      </c>
      <c r="L322" s="1" t="str">
        <f t="shared" si="68"/>
        <v>NA</v>
      </c>
      <c r="M322" s="1">
        <f t="shared" si="69"/>
        <v>0</v>
      </c>
      <c r="N322" s="2">
        <f t="shared" si="61"/>
        <v>30</v>
      </c>
    </row>
    <row r="323" spans="3:14" x14ac:dyDescent="0.25">
      <c r="C323">
        <v>4</v>
      </c>
      <c r="D323" s="3">
        <f t="shared" si="76"/>
        <v>46098</v>
      </c>
      <c r="E323" s="3">
        <f t="shared" si="73"/>
        <v>46128</v>
      </c>
      <c r="F323" t="s">
        <v>7</v>
      </c>
      <c r="G323" t="s">
        <v>10</v>
      </c>
      <c r="L323" s="1" t="str">
        <f t="shared" si="68"/>
        <v>NA</v>
      </c>
      <c r="M323" s="1">
        <f t="shared" si="69"/>
        <v>0</v>
      </c>
      <c r="N323" s="2">
        <f t="shared" ref="N323:N386" si="77">ABS(D323-E323)</f>
        <v>30</v>
      </c>
    </row>
    <row r="324" spans="3:14" x14ac:dyDescent="0.25">
      <c r="C324">
        <v>5</v>
      </c>
      <c r="D324" s="3">
        <f t="shared" si="76"/>
        <v>46098</v>
      </c>
      <c r="E324" s="3">
        <f t="shared" si="73"/>
        <v>46128</v>
      </c>
      <c r="F324" t="s">
        <v>0</v>
      </c>
      <c r="G324" t="s">
        <v>6</v>
      </c>
      <c r="L324" s="1" t="str">
        <f t="shared" si="68"/>
        <v>NA</v>
      </c>
      <c r="M324" s="1">
        <f t="shared" si="69"/>
        <v>0</v>
      </c>
      <c r="N324" s="2">
        <f t="shared" si="77"/>
        <v>30</v>
      </c>
    </row>
    <row r="325" spans="3:14" x14ac:dyDescent="0.25">
      <c r="C325">
        <v>6</v>
      </c>
      <c r="D325" s="3">
        <f t="shared" si="76"/>
        <v>46098</v>
      </c>
      <c r="E325" s="3">
        <f t="shared" si="73"/>
        <v>46128</v>
      </c>
      <c r="F325" t="s">
        <v>0</v>
      </c>
      <c r="G325" t="s">
        <v>10</v>
      </c>
      <c r="L325" s="1" t="str">
        <f t="shared" si="68"/>
        <v>NA</v>
      </c>
      <c r="M325" s="1">
        <f t="shared" si="69"/>
        <v>0</v>
      </c>
      <c r="N325" s="2">
        <f t="shared" si="77"/>
        <v>30</v>
      </c>
    </row>
    <row r="326" spans="3:14" x14ac:dyDescent="0.25">
      <c r="C326">
        <v>1</v>
      </c>
      <c r="D326" s="3">
        <f>D320+1</f>
        <v>46099</v>
      </c>
      <c r="E326" s="3">
        <f t="shared" si="73"/>
        <v>46129</v>
      </c>
      <c r="F326" t="s">
        <v>4</v>
      </c>
      <c r="G326" t="s">
        <v>6</v>
      </c>
      <c r="L326" s="1" t="str">
        <f t="shared" si="68"/>
        <v>NA</v>
      </c>
      <c r="M326" s="1">
        <f t="shared" si="69"/>
        <v>0</v>
      </c>
      <c r="N326" s="2">
        <f t="shared" si="77"/>
        <v>30</v>
      </c>
    </row>
    <row r="327" spans="3:14" x14ac:dyDescent="0.25">
      <c r="C327">
        <v>2</v>
      </c>
      <c r="D327" s="3">
        <f t="shared" ref="D327:D331" si="78">D326</f>
        <v>46099</v>
      </c>
      <c r="E327" s="3">
        <f t="shared" si="73"/>
        <v>46129</v>
      </c>
      <c r="F327" t="s">
        <v>4</v>
      </c>
      <c r="G327" t="s">
        <v>10</v>
      </c>
      <c r="L327" s="1" t="str">
        <f t="shared" si="68"/>
        <v>NA</v>
      </c>
      <c r="M327" s="1">
        <f t="shared" si="69"/>
        <v>0</v>
      </c>
      <c r="N327" s="2">
        <f t="shared" si="77"/>
        <v>30</v>
      </c>
    </row>
    <row r="328" spans="3:14" x14ac:dyDescent="0.25">
      <c r="C328">
        <v>3</v>
      </c>
      <c r="D328" s="3">
        <f t="shared" si="78"/>
        <v>46099</v>
      </c>
      <c r="E328" s="3">
        <f t="shared" si="73"/>
        <v>46129</v>
      </c>
      <c r="F328" t="s">
        <v>7</v>
      </c>
      <c r="G328" t="s">
        <v>6</v>
      </c>
      <c r="L328" s="1" t="str">
        <f t="shared" si="68"/>
        <v>NA</v>
      </c>
      <c r="M328" s="1">
        <f t="shared" si="69"/>
        <v>0</v>
      </c>
      <c r="N328" s="2">
        <f t="shared" si="77"/>
        <v>30</v>
      </c>
    </row>
    <row r="329" spans="3:14" x14ac:dyDescent="0.25">
      <c r="C329">
        <v>4</v>
      </c>
      <c r="D329" s="3">
        <f t="shared" si="78"/>
        <v>46099</v>
      </c>
      <c r="E329" s="3">
        <f t="shared" si="73"/>
        <v>46129</v>
      </c>
      <c r="F329" t="s">
        <v>7</v>
      </c>
      <c r="G329" t="s">
        <v>10</v>
      </c>
      <c r="L329" s="1" t="str">
        <f t="shared" si="68"/>
        <v>NA</v>
      </c>
      <c r="M329" s="1">
        <f t="shared" si="69"/>
        <v>0</v>
      </c>
      <c r="N329" s="2">
        <f t="shared" si="77"/>
        <v>30</v>
      </c>
    </row>
    <row r="330" spans="3:14" x14ac:dyDescent="0.25">
      <c r="C330">
        <v>5</v>
      </c>
      <c r="D330" s="3">
        <f t="shared" si="78"/>
        <v>46099</v>
      </c>
      <c r="E330" s="3">
        <f t="shared" si="73"/>
        <v>46129</v>
      </c>
      <c r="F330" t="s">
        <v>0</v>
      </c>
      <c r="G330" t="s">
        <v>6</v>
      </c>
      <c r="L330" s="1" t="str">
        <f t="shared" si="68"/>
        <v>NA</v>
      </c>
      <c r="M330" s="1">
        <f t="shared" si="69"/>
        <v>0</v>
      </c>
      <c r="N330" s="2">
        <f t="shared" si="77"/>
        <v>30</v>
      </c>
    </row>
    <row r="331" spans="3:14" x14ac:dyDescent="0.25">
      <c r="C331">
        <v>6</v>
      </c>
      <c r="D331" s="3">
        <f t="shared" si="78"/>
        <v>46099</v>
      </c>
      <c r="E331" s="3">
        <f t="shared" si="73"/>
        <v>46129</v>
      </c>
      <c r="F331" t="s">
        <v>0</v>
      </c>
      <c r="G331" t="s">
        <v>10</v>
      </c>
      <c r="L331" s="1" t="str">
        <f t="shared" si="68"/>
        <v>NA</v>
      </c>
      <c r="M331" s="1">
        <f t="shared" si="69"/>
        <v>0</v>
      </c>
      <c r="N331" s="2">
        <f t="shared" si="77"/>
        <v>30</v>
      </c>
    </row>
    <row r="332" spans="3:14" x14ac:dyDescent="0.25">
      <c r="C332">
        <v>1</v>
      </c>
      <c r="D332" s="3">
        <f>D326+1</f>
        <v>46100</v>
      </c>
      <c r="E332" s="3">
        <f t="shared" si="73"/>
        <v>46130</v>
      </c>
      <c r="F332" t="s">
        <v>4</v>
      </c>
      <c r="G332" t="s">
        <v>6</v>
      </c>
      <c r="L332" s="1" t="str">
        <f t="shared" si="68"/>
        <v>NA</v>
      </c>
      <c r="M332" s="1">
        <f t="shared" si="69"/>
        <v>0</v>
      </c>
      <c r="N332" s="2">
        <f t="shared" si="77"/>
        <v>30</v>
      </c>
    </row>
    <row r="333" spans="3:14" x14ac:dyDescent="0.25">
      <c r="C333">
        <v>2</v>
      </c>
      <c r="D333" s="3">
        <f t="shared" ref="D333:D337" si="79">D332</f>
        <v>46100</v>
      </c>
      <c r="E333" s="3">
        <f t="shared" si="73"/>
        <v>46130</v>
      </c>
      <c r="F333" t="s">
        <v>4</v>
      </c>
      <c r="G333" t="s">
        <v>10</v>
      </c>
      <c r="L333" s="1" t="str">
        <f t="shared" si="68"/>
        <v>NA</v>
      </c>
      <c r="M333" s="1">
        <f t="shared" si="69"/>
        <v>0</v>
      </c>
      <c r="N333" s="2">
        <f t="shared" si="77"/>
        <v>30</v>
      </c>
    </row>
    <row r="334" spans="3:14" x14ac:dyDescent="0.25">
      <c r="C334">
        <v>3</v>
      </c>
      <c r="D334" s="3">
        <f t="shared" si="79"/>
        <v>46100</v>
      </c>
      <c r="E334" s="3">
        <f t="shared" si="73"/>
        <v>46130</v>
      </c>
      <c r="F334" t="s">
        <v>7</v>
      </c>
      <c r="G334" t="s">
        <v>6</v>
      </c>
      <c r="L334" s="1" t="str">
        <f t="shared" si="68"/>
        <v>NA</v>
      </c>
      <c r="M334" s="1">
        <f t="shared" si="69"/>
        <v>0</v>
      </c>
      <c r="N334" s="2">
        <f t="shared" si="77"/>
        <v>30</v>
      </c>
    </row>
    <row r="335" spans="3:14" x14ac:dyDescent="0.25">
      <c r="C335">
        <v>4</v>
      </c>
      <c r="D335" s="3">
        <f t="shared" si="79"/>
        <v>46100</v>
      </c>
      <c r="E335" s="3">
        <f t="shared" si="73"/>
        <v>46130</v>
      </c>
      <c r="F335" t="s">
        <v>7</v>
      </c>
      <c r="G335" t="s">
        <v>10</v>
      </c>
      <c r="L335" s="1" t="str">
        <f t="shared" si="68"/>
        <v>NA</v>
      </c>
      <c r="M335" s="1">
        <f t="shared" si="69"/>
        <v>0</v>
      </c>
      <c r="N335" s="2">
        <f t="shared" si="77"/>
        <v>30</v>
      </c>
    </row>
    <row r="336" spans="3:14" x14ac:dyDescent="0.25">
      <c r="C336">
        <v>5</v>
      </c>
      <c r="D336" s="3">
        <f t="shared" si="79"/>
        <v>46100</v>
      </c>
      <c r="E336" s="3">
        <f t="shared" si="73"/>
        <v>46130</v>
      </c>
      <c r="F336" t="s">
        <v>0</v>
      </c>
      <c r="G336" t="s">
        <v>6</v>
      </c>
      <c r="L336" s="1" t="str">
        <f t="shared" si="68"/>
        <v>NA</v>
      </c>
      <c r="M336" s="1">
        <f t="shared" si="69"/>
        <v>0</v>
      </c>
      <c r="N336" s="2">
        <f t="shared" si="77"/>
        <v>30</v>
      </c>
    </row>
    <row r="337" spans="3:14" x14ac:dyDescent="0.25">
      <c r="C337">
        <v>6</v>
      </c>
      <c r="D337" s="3">
        <f t="shared" si="79"/>
        <v>46100</v>
      </c>
      <c r="E337" s="3">
        <f t="shared" si="73"/>
        <v>46130</v>
      </c>
      <c r="F337" t="s">
        <v>0</v>
      </c>
      <c r="G337" t="s">
        <v>10</v>
      </c>
      <c r="L337" s="1" t="str">
        <f t="shared" si="68"/>
        <v>NA</v>
      </c>
      <c r="M337" s="1">
        <f t="shared" si="69"/>
        <v>0</v>
      </c>
      <c r="N337" s="2">
        <f t="shared" si="77"/>
        <v>30</v>
      </c>
    </row>
    <row r="338" spans="3:14" x14ac:dyDescent="0.25">
      <c r="C338">
        <v>1</v>
      </c>
      <c r="D338" s="3">
        <f>D332+1</f>
        <v>46101</v>
      </c>
      <c r="E338" s="3">
        <f t="shared" si="73"/>
        <v>46131</v>
      </c>
      <c r="F338" t="s">
        <v>4</v>
      </c>
      <c r="G338" t="s">
        <v>6</v>
      </c>
      <c r="L338" s="1" t="str">
        <f t="shared" si="68"/>
        <v>NA</v>
      </c>
      <c r="M338" s="1">
        <f t="shared" si="69"/>
        <v>0</v>
      </c>
      <c r="N338" s="2">
        <f t="shared" si="77"/>
        <v>30</v>
      </c>
    </row>
    <row r="339" spans="3:14" x14ac:dyDescent="0.25">
      <c r="C339">
        <v>2</v>
      </c>
      <c r="D339" s="3">
        <f t="shared" ref="D339:D343" si="80">D338</f>
        <v>46101</v>
      </c>
      <c r="E339" s="3">
        <f t="shared" si="73"/>
        <v>46131</v>
      </c>
      <c r="F339" t="s">
        <v>4</v>
      </c>
      <c r="G339" t="s">
        <v>10</v>
      </c>
      <c r="L339" s="1" t="str">
        <f t="shared" si="68"/>
        <v>NA</v>
      </c>
      <c r="M339" s="1">
        <f t="shared" si="69"/>
        <v>0</v>
      </c>
      <c r="N339" s="2">
        <f t="shared" si="77"/>
        <v>30</v>
      </c>
    </row>
    <row r="340" spans="3:14" x14ac:dyDescent="0.25">
      <c r="C340">
        <v>3</v>
      </c>
      <c r="D340" s="3">
        <f t="shared" si="80"/>
        <v>46101</v>
      </c>
      <c r="E340" s="3">
        <f t="shared" si="73"/>
        <v>46131</v>
      </c>
      <c r="F340" t="s">
        <v>7</v>
      </c>
      <c r="G340" t="s">
        <v>6</v>
      </c>
      <c r="L340" s="1" t="str">
        <f t="shared" si="68"/>
        <v>NA</v>
      </c>
      <c r="M340" s="1">
        <f t="shared" si="69"/>
        <v>0</v>
      </c>
      <c r="N340" s="2">
        <f t="shared" si="77"/>
        <v>30</v>
      </c>
    </row>
    <row r="341" spans="3:14" x14ac:dyDescent="0.25">
      <c r="C341">
        <v>4</v>
      </c>
      <c r="D341" s="3">
        <f t="shared" si="80"/>
        <v>46101</v>
      </c>
      <c r="E341" s="3">
        <f t="shared" si="73"/>
        <v>46131</v>
      </c>
      <c r="F341" t="s">
        <v>7</v>
      </c>
      <c r="G341" t="s">
        <v>10</v>
      </c>
      <c r="L341" s="1" t="str">
        <f t="shared" si="68"/>
        <v>NA</v>
      </c>
      <c r="M341" s="1">
        <f t="shared" si="69"/>
        <v>0</v>
      </c>
      <c r="N341" s="2">
        <f t="shared" si="77"/>
        <v>30</v>
      </c>
    </row>
    <row r="342" spans="3:14" x14ac:dyDescent="0.25">
      <c r="C342">
        <v>5</v>
      </c>
      <c r="D342" s="3">
        <f t="shared" si="80"/>
        <v>46101</v>
      </c>
      <c r="E342" s="3">
        <f t="shared" si="73"/>
        <v>46131</v>
      </c>
      <c r="F342" t="s">
        <v>0</v>
      </c>
      <c r="G342" t="s">
        <v>6</v>
      </c>
      <c r="L342" s="1" t="str">
        <f t="shared" si="68"/>
        <v>NA</v>
      </c>
      <c r="M342" s="1">
        <f t="shared" si="69"/>
        <v>0</v>
      </c>
      <c r="N342" s="2">
        <f t="shared" si="77"/>
        <v>30</v>
      </c>
    </row>
    <row r="343" spans="3:14" x14ac:dyDescent="0.25">
      <c r="C343">
        <v>6</v>
      </c>
      <c r="D343" s="3">
        <f t="shared" si="80"/>
        <v>46101</v>
      </c>
      <c r="E343" s="3">
        <f t="shared" si="73"/>
        <v>46131</v>
      </c>
      <c r="F343" t="s">
        <v>0</v>
      </c>
      <c r="G343" t="s">
        <v>10</v>
      </c>
      <c r="L343" s="1" t="str">
        <f t="shared" si="68"/>
        <v>NA</v>
      </c>
      <c r="M343" s="1">
        <f t="shared" si="69"/>
        <v>0</v>
      </c>
      <c r="N343" s="2">
        <f t="shared" si="77"/>
        <v>30</v>
      </c>
    </row>
    <row r="344" spans="3:14" x14ac:dyDescent="0.25">
      <c r="C344">
        <v>1</v>
      </c>
      <c r="D344" s="3">
        <f>D338+1</f>
        <v>46102</v>
      </c>
      <c r="E344" s="3">
        <f t="shared" si="73"/>
        <v>46132</v>
      </c>
      <c r="F344" t="s">
        <v>4</v>
      </c>
      <c r="G344" t="s">
        <v>6</v>
      </c>
      <c r="L344" s="1" t="str">
        <f t="shared" si="68"/>
        <v>NA</v>
      </c>
      <c r="M344" s="1">
        <f t="shared" si="69"/>
        <v>0</v>
      </c>
      <c r="N344" s="2">
        <f t="shared" si="77"/>
        <v>30</v>
      </c>
    </row>
    <row r="345" spans="3:14" x14ac:dyDescent="0.25">
      <c r="C345">
        <v>2</v>
      </c>
      <c r="D345" s="3">
        <f t="shared" ref="D345:D349" si="81">D344</f>
        <v>46102</v>
      </c>
      <c r="E345" s="3">
        <f t="shared" si="73"/>
        <v>46132</v>
      </c>
      <c r="F345" t="s">
        <v>4</v>
      </c>
      <c r="G345" t="s">
        <v>10</v>
      </c>
      <c r="L345" s="1" t="str">
        <f t="shared" si="68"/>
        <v>NA</v>
      </c>
      <c r="M345" s="1">
        <f t="shared" si="69"/>
        <v>0</v>
      </c>
      <c r="N345" s="2">
        <f t="shared" si="77"/>
        <v>30</v>
      </c>
    </row>
    <row r="346" spans="3:14" x14ac:dyDescent="0.25">
      <c r="C346">
        <v>3</v>
      </c>
      <c r="D346" s="3">
        <f t="shared" si="81"/>
        <v>46102</v>
      </c>
      <c r="E346" s="3">
        <f t="shared" si="73"/>
        <v>46132</v>
      </c>
      <c r="F346" t="s">
        <v>7</v>
      </c>
      <c r="G346" t="s">
        <v>6</v>
      </c>
      <c r="L346" s="1" t="str">
        <f t="shared" si="68"/>
        <v>NA</v>
      </c>
      <c r="M346" s="1">
        <f t="shared" si="69"/>
        <v>0</v>
      </c>
      <c r="N346" s="2">
        <f t="shared" si="77"/>
        <v>30</v>
      </c>
    </row>
    <row r="347" spans="3:14" x14ac:dyDescent="0.25">
      <c r="C347">
        <v>4</v>
      </c>
      <c r="D347" s="3">
        <f t="shared" si="81"/>
        <v>46102</v>
      </c>
      <c r="E347" s="3">
        <f t="shared" si="73"/>
        <v>46132</v>
      </c>
      <c r="F347" t="s">
        <v>7</v>
      </c>
      <c r="G347" t="s">
        <v>10</v>
      </c>
      <c r="L347" s="1" t="str">
        <f t="shared" si="68"/>
        <v>NA</v>
      </c>
      <c r="M347" s="1">
        <f t="shared" si="69"/>
        <v>0</v>
      </c>
      <c r="N347" s="2">
        <f t="shared" si="77"/>
        <v>30</v>
      </c>
    </row>
    <row r="348" spans="3:14" x14ac:dyDescent="0.25">
      <c r="C348">
        <v>5</v>
      </c>
      <c r="D348" s="3">
        <f t="shared" si="81"/>
        <v>46102</v>
      </c>
      <c r="E348" s="3">
        <f t="shared" si="73"/>
        <v>46132</v>
      </c>
      <c r="F348" t="s">
        <v>0</v>
      </c>
      <c r="G348" t="s">
        <v>6</v>
      </c>
      <c r="L348" s="1" t="str">
        <f t="shared" si="68"/>
        <v>NA</v>
      </c>
      <c r="M348" s="1">
        <f t="shared" si="69"/>
        <v>0</v>
      </c>
      <c r="N348" s="2">
        <f t="shared" si="77"/>
        <v>30</v>
      </c>
    </row>
    <row r="349" spans="3:14" x14ac:dyDescent="0.25">
      <c r="C349">
        <v>6</v>
      </c>
      <c r="D349" s="3">
        <f t="shared" si="81"/>
        <v>46102</v>
      </c>
      <c r="E349" s="3">
        <f t="shared" si="73"/>
        <v>46132</v>
      </c>
      <c r="F349" t="s">
        <v>0</v>
      </c>
      <c r="G349" t="s">
        <v>10</v>
      </c>
      <c r="L349" s="1" t="str">
        <f t="shared" si="68"/>
        <v>NA</v>
      </c>
      <c r="M349" s="1">
        <f t="shared" si="69"/>
        <v>0</v>
      </c>
      <c r="N349" s="2">
        <f t="shared" si="77"/>
        <v>30</v>
      </c>
    </row>
    <row r="350" spans="3:14" x14ac:dyDescent="0.25">
      <c r="C350">
        <v>1</v>
      </c>
      <c r="D350" s="3">
        <f>D344+1</f>
        <v>46103</v>
      </c>
      <c r="E350" s="3">
        <f t="shared" si="73"/>
        <v>46133</v>
      </c>
      <c r="F350" t="s">
        <v>4</v>
      </c>
      <c r="G350" t="s">
        <v>6</v>
      </c>
      <c r="L350" s="1" t="str">
        <f t="shared" si="68"/>
        <v>NA</v>
      </c>
      <c r="M350" s="1">
        <f t="shared" si="69"/>
        <v>0</v>
      </c>
      <c r="N350" s="2">
        <f t="shared" si="77"/>
        <v>30</v>
      </c>
    </row>
    <row r="351" spans="3:14" x14ac:dyDescent="0.25">
      <c r="C351">
        <v>2</v>
      </c>
      <c r="D351" s="3">
        <f t="shared" ref="D351:D355" si="82">D350</f>
        <v>46103</v>
      </c>
      <c r="E351" s="3">
        <f t="shared" si="73"/>
        <v>46133</v>
      </c>
      <c r="F351" t="s">
        <v>4</v>
      </c>
      <c r="G351" t="s">
        <v>10</v>
      </c>
      <c r="L351" s="1" t="str">
        <f t="shared" si="68"/>
        <v>NA</v>
      </c>
      <c r="M351" s="1">
        <f t="shared" si="69"/>
        <v>0</v>
      </c>
      <c r="N351" s="2">
        <f t="shared" si="77"/>
        <v>30</v>
      </c>
    </row>
    <row r="352" spans="3:14" x14ac:dyDescent="0.25">
      <c r="C352">
        <v>3</v>
      </c>
      <c r="D352" s="3">
        <f t="shared" si="82"/>
        <v>46103</v>
      </c>
      <c r="E352" s="3">
        <f t="shared" si="73"/>
        <v>46133</v>
      </c>
      <c r="F352" t="s">
        <v>7</v>
      </c>
      <c r="G352" t="s">
        <v>6</v>
      </c>
      <c r="L352" s="1" t="str">
        <f t="shared" si="68"/>
        <v>NA</v>
      </c>
      <c r="M352" s="1">
        <f t="shared" si="69"/>
        <v>0</v>
      </c>
      <c r="N352" s="2">
        <f t="shared" si="77"/>
        <v>30</v>
      </c>
    </row>
    <row r="353" spans="3:14" x14ac:dyDescent="0.25">
      <c r="C353">
        <v>4</v>
      </c>
      <c r="D353" s="3">
        <f t="shared" si="82"/>
        <v>46103</v>
      </c>
      <c r="E353" s="3">
        <f t="shared" si="73"/>
        <v>46133</v>
      </c>
      <c r="F353" t="s">
        <v>7</v>
      </c>
      <c r="G353" t="s">
        <v>10</v>
      </c>
      <c r="L353" s="1" t="str">
        <f t="shared" si="68"/>
        <v>NA</v>
      </c>
      <c r="M353" s="1">
        <f t="shared" si="69"/>
        <v>0</v>
      </c>
      <c r="N353" s="2">
        <f t="shared" si="77"/>
        <v>30</v>
      </c>
    </row>
    <row r="354" spans="3:14" x14ac:dyDescent="0.25">
      <c r="C354">
        <v>5</v>
      </c>
      <c r="D354" s="3">
        <f t="shared" si="82"/>
        <v>46103</v>
      </c>
      <c r="E354" s="3">
        <f t="shared" si="73"/>
        <v>46133</v>
      </c>
      <c r="F354" t="s">
        <v>0</v>
      </c>
      <c r="G354" t="s">
        <v>6</v>
      </c>
      <c r="L354" s="1" t="str">
        <f t="shared" ref="L354:L417" si="83">IFERROR(I354/H354,"NA")</f>
        <v>NA</v>
      </c>
      <c r="M354" s="1">
        <f t="shared" ref="M354:M417" si="84">IFERROR(J354/I354,0)</f>
        <v>0</v>
      </c>
      <c r="N354" s="2">
        <f t="shared" si="77"/>
        <v>30</v>
      </c>
    </row>
    <row r="355" spans="3:14" x14ac:dyDescent="0.25">
      <c r="C355">
        <v>6</v>
      </c>
      <c r="D355" s="3">
        <f t="shared" si="82"/>
        <v>46103</v>
      </c>
      <c r="E355" s="3">
        <f t="shared" si="73"/>
        <v>46133</v>
      </c>
      <c r="F355" t="s">
        <v>0</v>
      </c>
      <c r="G355" t="s">
        <v>10</v>
      </c>
      <c r="L355" s="1" t="str">
        <f t="shared" si="83"/>
        <v>NA</v>
      </c>
      <c r="M355" s="1">
        <f t="shared" si="84"/>
        <v>0</v>
      </c>
      <c r="N355" s="2">
        <f t="shared" si="77"/>
        <v>30</v>
      </c>
    </row>
    <row r="356" spans="3:14" x14ac:dyDescent="0.25">
      <c r="C356">
        <v>1</v>
      </c>
      <c r="D356" s="3">
        <f>D350+1</f>
        <v>46104</v>
      </c>
      <c r="E356" s="3">
        <f t="shared" si="73"/>
        <v>46134</v>
      </c>
      <c r="F356" t="s">
        <v>4</v>
      </c>
      <c r="G356" t="s">
        <v>6</v>
      </c>
      <c r="L356" s="1" t="str">
        <f t="shared" si="83"/>
        <v>NA</v>
      </c>
      <c r="M356" s="1">
        <f t="shared" si="84"/>
        <v>0</v>
      </c>
      <c r="N356" s="2">
        <f t="shared" si="77"/>
        <v>30</v>
      </c>
    </row>
    <row r="357" spans="3:14" x14ac:dyDescent="0.25">
      <c r="C357">
        <v>2</v>
      </c>
      <c r="D357" s="3">
        <f t="shared" ref="D357:D361" si="85">D356</f>
        <v>46104</v>
      </c>
      <c r="E357" s="3">
        <f t="shared" si="73"/>
        <v>46134</v>
      </c>
      <c r="F357" t="s">
        <v>4</v>
      </c>
      <c r="G357" t="s">
        <v>10</v>
      </c>
      <c r="L357" s="1" t="str">
        <f t="shared" si="83"/>
        <v>NA</v>
      </c>
      <c r="M357" s="1">
        <f t="shared" si="84"/>
        <v>0</v>
      </c>
      <c r="N357" s="2">
        <f t="shared" si="77"/>
        <v>30</v>
      </c>
    </row>
    <row r="358" spans="3:14" x14ac:dyDescent="0.25">
      <c r="C358">
        <v>3</v>
      </c>
      <c r="D358" s="3">
        <f t="shared" si="85"/>
        <v>46104</v>
      </c>
      <c r="E358" s="3">
        <f t="shared" si="73"/>
        <v>46134</v>
      </c>
      <c r="F358" t="s">
        <v>7</v>
      </c>
      <c r="G358" t="s">
        <v>6</v>
      </c>
      <c r="L358" s="1" t="str">
        <f t="shared" si="83"/>
        <v>NA</v>
      </c>
      <c r="M358" s="1">
        <f t="shared" si="84"/>
        <v>0</v>
      </c>
      <c r="N358" s="2">
        <f t="shared" si="77"/>
        <v>30</v>
      </c>
    </row>
    <row r="359" spans="3:14" x14ac:dyDescent="0.25">
      <c r="C359">
        <v>4</v>
      </c>
      <c r="D359" s="3">
        <f t="shared" si="85"/>
        <v>46104</v>
      </c>
      <c r="E359" s="3">
        <f t="shared" si="73"/>
        <v>46134</v>
      </c>
      <c r="F359" t="s">
        <v>7</v>
      </c>
      <c r="G359" t="s">
        <v>10</v>
      </c>
      <c r="L359" s="1" t="str">
        <f t="shared" si="83"/>
        <v>NA</v>
      </c>
      <c r="M359" s="1">
        <f t="shared" si="84"/>
        <v>0</v>
      </c>
      <c r="N359" s="2">
        <f t="shared" si="77"/>
        <v>30</v>
      </c>
    </row>
    <row r="360" spans="3:14" x14ac:dyDescent="0.25">
      <c r="C360">
        <v>5</v>
      </c>
      <c r="D360" s="3">
        <f t="shared" si="85"/>
        <v>46104</v>
      </c>
      <c r="E360" s="3">
        <f t="shared" si="73"/>
        <v>46134</v>
      </c>
      <c r="F360" t="s">
        <v>0</v>
      </c>
      <c r="G360" t="s">
        <v>6</v>
      </c>
      <c r="L360" s="1" t="str">
        <f t="shared" si="83"/>
        <v>NA</v>
      </c>
      <c r="M360" s="1">
        <f t="shared" si="84"/>
        <v>0</v>
      </c>
      <c r="N360" s="2">
        <f t="shared" si="77"/>
        <v>30</v>
      </c>
    </row>
    <row r="361" spans="3:14" x14ac:dyDescent="0.25">
      <c r="C361">
        <v>6</v>
      </c>
      <c r="D361" s="3">
        <f t="shared" si="85"/>
        <v>46104</v>
      </c>
      <c r="E361" s="3">
        <f t="shared" si="73"/>
        <v>46134</v>
      </c>
      <c r="F361" t="s">
        <v>0</v>
      </c>
      <c r="G361" t="s">
        <v>10</v>
      </c>
      <c r="L361" s="1" t="str">
        <f t="shared" si="83"/>
        <v>NA</v>
      </c>
      <c r="M361" s="1">
        <f t="shared" si="84"/>
        <v>0</v>
      </c>
      <c r="N361" s="2">
        <f t="shared" si="77"/>
        <v>30</v>
      </c>
    </row>
    <row r="362" spans="3:14" x14ac:dyDescent="0.25">
      <c r="C362">
        <v>1</v>
      </c>
      <c r="D362" s="3">
        <f>D356+1</f>
        <v>46105</v>
      </c>
      <c r="E362" s="3">
        <f t="shared" si="73"/>
        <v>46135</v>
      </c>
      <c r="F362" t="s">
        <v>4</v>
      </c>
      <c r="G362" t="s">
        <v>6</v>
      </c>
      <c r="L362" s="1" t="str">
        <f t="shared" si="83"/>
        <v>NA</v>
      </c>
      <c r="M362" s="1">
        <f t="shared" si="84"/>
        <v>0</v>
      </c>
      <c r="N362" s="2">
        <f t="shared" si="77"/>
        <v>30</v>
      </c>
    </row>
    <row r="363" spans="3:14" x14ac:dyDescent="0.25">
      <c r="C363">
        <v>2</v>
      </c>
      <c r="D363" s="3">
        <f t="shared" ref="D363:D367" si="86">D362</f>
        <v>46105</v>
      </c>
      <c r="E363" s="3">
        <f t="shared" si="73"/>
        <v>46135</v>
      </c>
      <c r="F363" t="s">
        <v>4</v>
      </c>
      <c r="G363" t="s">
        <v>10</v>
      </c>
      <c r="L363" s="1" t="str">
        <f t="shared" si="83"/>
        <v>NA</v>
      </c>
      <c r="M363" s="1">
        <f t="shared" si="84"/>
        <v>0</v>
      </c>
      <c r="N363" s="2">
        <f t="shared" si="77"/>
        <v>30</v>
      </c>
    </row>
    <row r="364" spans="3:14" x14ac:dyDescent="0.25">
      <c r="C364">
        <v>3</v>
      </c>
      <c r="D364" s="3">
        <f t="shared" si="86"/>
        <v>46105</v>
      </c>
      <c r="E364" s="3">
        <f t="shared" si="73"/>
        <v>46135</v>
      </c>
      <c r="F364" t="s">
        <v>7</v>
      </c>
      <c r="G364" t="s">
        <v>6</v>
      </c>
      <c r="L364" s="1" t="str">
        <f t="shared" si="83"/>
        <v>NA</v>
      </c>
      <c r="M364" s="1">
        <f t="shared" si="84"/>
        <v>0</v>
      </c>
      <c r="N364" s="2">
        <f t="shared" si="77"/>
        <v>30</v>
      </c>
    </row>
    <row r="365" spans="3:14" x14ac:dyDescent="0.25">
      <c r="C365">
        <v>4</v>
      </c>
      <c r="D365" s="3">
        <f t="shared" si="86"/>
        <v>46105</v>
      </c>
      <c r="E365" s="3">
        <f t="shared" si="73"/>
        <v>46135</v>
      </c>
      <c r="F365" t="s">
        <v>7</v>
      </c>
      <c r="G365" t="s">
        <v>10</v>
      </c>
      <c r="L365" s="1" t="str">
        <f t="shared" si="83"/>
        <v>NA</v>
      </c>
      <c r="M365" s="1">
        <f t="shared" si="84"/>
        <v>0</v>
      </c>
      <c r="N365" s="2">
        <f t="shared" si="77"/>
        <v>30</v>
      </c>
    </row>
    <row r="366" spans="3:14" x14ac:dyDescent="0.25">
      <c r="C366">
        <v>5</v>
      </c>
      <c r="D366" s="3">
        <f t="shared" si="86"/>
        <v>46105</v>
      </c>
      <c r="E366" s="3">
        <f t="shared" si="73"/>
        <v>46135</v>
      </c>
      <c r="F366" t="s">
        <v>0</v>
      </c>
      <c r="G366" t="s">
        <v>6</v>
      </c>
      <c r="L366" s="1" t="str">
        <f t="shared" si="83"/>
        <v>NA</v>
      </c>
      <c r="M366" s="1">
        <f t="shared" si="84"/>
        <v>0</v>
      </c>
      <c r="N366" s="2">
        <f t="shared" si="77"/>
        <v>30</v>
      </c>
    </row>
    <row r="367" spans="3:14" x14ac:dyDescent="0.25">
      <c r="C367">
        <v>6</v>
      </c>
      <c r="D367" s="3">
        <f t="shared" si="86"/>
        <v>46105</v>
      </c>
      <c r="E367" s="3">
        <f t="shared" si="73"/>
        <v>46135</v>
      </c>
      <c r="F367" t="s">
        <v>0</v>
      </c>
      <c r="G367" t="s">
        <v>10</v>
      </c>
      <c r="L367" s="1" t="str">
        <f t="shared" si="83"/>
        <v>NA</v>
      </c>
      <c r="M367" s="1">
        <f t="shared" si="84"/>
        <v>0</v>
      </c>
      <c r="N367" s="2">
        <f t="shared" si="77"/>
        <v>30</v>
      </c>
    </row>
    <row r="368" spans="3:14" x14ac:dyDescent="0.25">
      <c r="C368">
        <v>1</v>
      </c>
      <c r="D368" s="3">
        <f>D362+1</f>
        <v>46106</v>
      </c>
      <c r="E368" s="3">
        <f t="shared" si="73"/>
        <v>46136</v>
      </c>
      <c r="F368" t="s">
        <v>4</v>
      </c>
      <c r="G368" t="s">
        <v>6</v>
      </c>
      <c r="L368" s="1" t="str">
        <f t="shared" si="83"/>
        <v>NA</v>
      </c>
      <c r="M368" s="1">
        <f t="shared" si="84"/>
        <v>0</v>
      </c>
      <c r="N368" s="2">
        <f t="shared" si="77"/>
        <v>30</v>
      </c>
    </row>
    <row r="369" spans="3:14" x14ac:dyDescent="0.25">
      <c r="C369">
        <v>2</v>
      </c>
      <c r="D369" s="3">
        <f t="shared" ref="D369:D373" si="87">D368</f>
        <v>46106</v>
      </c>
      <c r="E369" s="3">
        <f t="shared" si="73"/>
        <v>46136</v>
      </c>
      <c r="F369" t="s">
        <v>4</v>
      </c>
      <c r="G369" t="s">
        <v>10</v>
      </c>
      <c r="L369" s="1" t="str">
        <f t="shared" si="83"/>
        <v>NA</v>
      </c>
      <c r="M369" s="1">
        <f t="shared" si="84"/>
        <v>0</v>
      </c>
      <c r="N369" s="2">
        <f t="shared" si="77"/>
        <v>30</v>
      </c>
    </row>
    <row r="370" spans="3:14" x14ac:dyDescent="0.25">
      <c r="C370">
        <v>3</v>
      </c>
      <c r="D370" s="3">
        <f t="shared" si="87"/>
        <v>46106</v>
      </c>
      <c r="E370" s="3">
        <f t="shared" si="73"/>
        <v>46136</v>
      </c>
      <c r="F370" t="s">
        <v>7</v>
      </c>
      <c r="G370" t="s">
        <v>6</v>
      </c>
      <c r="L370" s="1" t="str">
        <f t="shared" si="83"/>
        <v>NA</v>
      </c>
      <c r="M370" s="1">
        <f t="shared" si="84"/>
        <v>0</v>
      </c>
      <c r="N370" s="2">
        <f t="shared" si="77"/>
        <v>30</v>
      </c>
    </row>
    <row r="371" spans="3:14" x14ac:dyDescent="0.25">
      <c r="C371">
        <v>4</v>
      </c>
      <c r="D371" s="3">
        <f t="shared" si="87"/>
        <v>46106</v>
      </c>
      <c r="E371" s="3">
        <f t="shared" ref="E371:E434" si="88">D371+30</f>
        <v>46136</v>
      </c>
      <c r="F371" t="s">
        <v>7</v>
      </c>
      <c r="G371" t="s">
        <v>10</v>
      </c>
      <c r="L371" s="1" t="str">
        <f t="shared" si="83"/>
        <v>NA</v>
      </c>
      <c r="M371" s="1">
        <f t="shared" si="84"/>
        <v>0</v>
      </c>
      <c r="N371" s="2">
        <f t="shared" si="77"/>
        <v>30</v>
      </c>
    </row>
    <row r="372" spans="3:14" x14ac:dyDescent="0.25">
      <c r="C372">
        <v>5</v>
      </c>
      <c r="D372" s="3">
        <f t="shared" si="87"/>
        <v>46106</v>
      </c>
      <c r="E372" s="3">
        <f t="shared" si="88"/>
        <v>46136</v>
      </c>
      <c r="F372" t="s">
        <v>0</v>
      </c>
      <c r="G372" t="s">
        <v>6</v>
      </c>
      <c r="L372" s="1" t="str">
        <f t="shared" si="83"/>
        <v>NA</v>
      </c>
      <c r="M372" s="1">
        <f t="shared" si="84"/>
        <v>0</v>
      </c>
      <c r="N372" s="2">
        <f t="shared" si="77"/>
        <v>30</v>
      </c>
    </row>
    <row r="373" spans="3:14" x14ac:dyDescent="0.25">
      <c r="C373">
        <v>6</v>
      </c>
      <c r="D373" s="3">
        <f t="shared" si="87"/>
        <v>46106</v>
      </c>
      <c r="E373" s="3">
        <f t="shared" si="88"/>
        <v>46136</v>
      </c>
      <c r="F373" t="s">
        <v>0</v>
      </c>
      <c r="G373" t="s">
        <v>10</v>
      </c>
      <c r="L373" s="1" t="str">
        <f t="shared" si="83"/>
        <v>NA</v>
      </c>
      <c r="M373" s="1">
        <f t="shared" si="84"/>
        <v>0</v>
      </c>
      <c r="N373" s="2">
        <f t="shared" si="77"/>
        <v>30</v>
      </c>
    </row>
    <row r="374" spans="3:14" x14ac:dyDescent="0.25">
      <c r="C374">
        <v>1</v>
      </c>
      <c r="D374" s="3">
        <f>D368+1</f>
        <v>46107</v>
      </c>
      <c r="E374" s="3">
        <f t="shared" si="88"/>
        <v>46137</v>
      </c>
      <c r="F374" t="s">
        <v>4</v>
      </c>
      <c r="G374" t="s">
        <v>6</v>
      </c>
      <c r="L374" s="1" t="str">
        <f t="shared" si="83"/>
        <v>NA</v>
      </c>
      <c r="M374" s="1">
        <f t="shared" si="84"/>
        <v>0</v>
      </c>
      <c r="N374" s="2">
        <f t="shared" si="77"/>
        <v>30</v>
      </c>
    </row>
    <row r="375" spans="3:14" x14ac:dyDescent="0.25">
      <c r="C375">
        <v>2</v>
      </c>
      <c r="D375" s="3">
        <f t="shared" ref="D375:D379" si="89">D374</f>
        <v>46107</v>
      </c>
      <c r="E375" s="3">
        <f t="shared" si="88"/>
        <v>46137</v>
      </c>
      <c r="F375" t="s">
        <v>4</v>
      </c>
      <c r="G375" t="s">
        <v>10</v>
      </c>
      <c r="L375" s="1" t="str">
        <f t="shared" si="83"/>
        <v>NA</v>
      </c>
      <c r="M375" s="1">
        <f t="shared" si="84"/>
        <v>0</v>
      </c>
      <c r="N375" s="2">
        <f t="shared" si="77"/>
        <v>30</v>
      </c>
    </row>
    <row r="376" spans="3:14" x14ac:dyDescent="0.25">
      <c r="C376">
        <v>3</v>
      </c>
      <c r="D376" s="3">
        <f t="shared" si="89"/>
        <v>46107</v>
      </c>
      <c r="E376" s="3">
        <f t="shared" si="88"/>
        <v>46137</v>
      </c>
      <c r="F376" t="s">
        <v>7</v>
      </c>
      <c r="G376" t="s">
        <v>6</v>
      </c>
      <c r="L376" s="1" t="str">
        <f t="shared" si="83"/>
        <v>NA</v>
      </c>
      <c r="M376" s="1">
        <f t="shared" si="84"/>
        <v>0</v>
      </c>
      <c r="N376" s="2">
        <f t="shared" si="77"/>
        <v>30</v>
      </c>
    </row>
    <row r="377" spans="3:14" x14ac:dyDescent="0.25">
      <c r="C377">
        <v>4</v>
      </c>
      <c r="D377" s="3">
        <f t="shared" si="89"/>
        <v>46107</v>
      </c>
      <c r="E377" s="3">
        <f t="shared" si="88"/>
        <v>46137</v>
      </c>
      <c r="F377" t="s">
        <v>7</v>
      </c>
      <c r="G377" t="s">
        <v>10</v>
      </c>
      <c r="L377" s="1" t="str">
        <f t="shared" si="83"/>
        <v>NA</v>
      </c>
      <c r="M377" s="1">
        <f t="shared" si="84"/>
        <v>0</v>
      </c>
      <c r="N377" s="2">
        <f t="shared" si="77"/>
        <v>30</v>
      </c>
    </row>
    <row r="378" spans="3:14" x14ac:dyDescent="0.25">
      <c r="C378">
        <v>5</v>
      </c>
      <c r="D378" s="3">
        <f t="shared" si="89"/>
        <v>46107</v>
      </c>
      <c r="E378" s="3">
        <f t="shared" si="88"/>
        <v>46137</v>
      </c>
      <c r="F378" t="s">
        <v>0</v>
      </c>
      <c r="G378" t="s">
        <v>6</v>
      </c>
      <c r="L378" s="1" t="str">
        <f t="shared" si="83"/>
        <v>NA</v>
      </c>
      <c r="M378" s="1">
        <f t="shared" si="84"/>
        <v>0</v>
      </c>
      <c r="N378" s="2">
        <f t="shared" si="77"/>
        <v>30</v>
      </c>
    </row>
    <row r="379" spans="3:14" x14ac:dyDescent="0.25">
      <c r="C379">
        <v>6</v>
      </c>
      <c r="D379" s="3">
        <f t="shared" si="89"/>
        <v>46107</v>
      </c>
      <c r="E379" s="3">
        <f t="shared" si="88"/>
        <v>46137</v>
      </c>
      <c r="F379" t="s">
        <v>0</v>
      </c>
      <c r="G379" t="s">
        <v>10</v>
      </c>
      <c r="L379" s="1" t="str">
        <f t="shared" si="83"/>
        <v>NA</v>
      </c>
      <c r="M379" s="1">
        <f t="shared" si="84"/>
        <v>0</v>
      </c>
      <c r="N379" s="2">
        <f t="shared" si="77"/>
        <v>30</v>
      </c>
    </row>
    <row r="380" spans="3:14" x14ac:dyDescent="0.25">
      <c r="C380">
        <v>1</v>
      </c>
      <c r="D380" s="3">
        <f>D374+1</f>
        <v>46108</v>
      </c>
      <c r="E380" s="3">
        <f t="shared" si="88"/>
        <v>46138</v>
      </c>
      <c r="F380" t="s">
        <v>4</v>
      </c>
      <c r="G380" t="s">
        <v>6</v>
      </c>
      <c r="L380" s="1" t="str">
        <f t="shared" si="83"/>
        <v>NA</v>
      </c>
      <c r="M380" s="1">
        <f t="shared" si="84"/>
        <v>0</v>
      </c>
      <c r="N380" s="2">
        <f t="shared" si="77"/>
        <v>30</v>
      </c>
    </row>
    <row r="381" spans="3:14" x14ac:dyDescent="0.25">
      <c r="C381">
        <v>2</v>
      </c>
      <c r="D381" s="3">
        <f t="shared" ref="D381:D385" si="90">D380</f>
        <v>46108</v>
      </c>
      <c r="E381" s="3">
        <f t="shared" si="88"/>
        <v>46138</v>
      </c>
      <c r="F381" t="s">
        <v>4</v>
      </c>
      <c r="G381" t="s">
        <v>10</v>
      </c>
      <c r="L381" s="1" t="str">
        <f t="shared" si="83"/>
        <v>NA</v>
      </c>
      <c r="M381" s="1">
        <f t="shared" si="84"/>
        <v>0</v>
      </c>
      <c r="N381" s="2">
        <f t="shared" si="77"/>
        <v>30</v>
      </c>
    </row>
    <row r="382" spans="3:14" x14ac:dyDescent="0.25">
      <c r="C382">
        <v>3</v>
      </c>
      <c r="D382" s="3">
        <f t="shared" si="90"/>
        <v>46108</v>
      </c>
      <c r="E382" s="3">
        <f t="shared" si="88"/>
        <v>46138</v>
      </c>
      <c r="F382" t="s">
        <v>7</v>
      </c>
      <c r="G382" t="s">
        <v>6</v>
      </c>
      <c r="L382" s="1" t="str">
        <f t="shared" si="83"/>
        <v>NA</v>
      </c>
      <c r="M382" s="1">
        <f t="shared" si="84"/>
        <v>0</v>
      </c>
      <c r="N382" s="2">
        <f t="shared" si="77"/>
        <v>30</v>
      </c>
    </row>
    <row r="383" spans="3:14" x14ac:dyDescent="0.25">
      <c r="C383">
        <v>4</v>
      </c>
      <c r="D383" s="3">
        <f t="shared" si="90"/>
        <v>46108</v>
      </c>
      <c r="E383" s="3">
        <f t="shared" si="88"/>
        <v>46138</v>
      </c>
      <c r="F383" t="s">
        <v>7</v>
      </c>
      <c r="G383" t="s">
        <v>10</v>
      </c>
      <c r="L383" s="1" t="str">
        <f t="shared" si="83"/>
        <v>NA</v>
      </c>
      <c r="M383" s="1">
        <f t="shared" si="84"/>
        <v>0</v>
      </c>
      <c r="N383" s="2">
        <f t="shared" si="77"/>
        <v>30</v>
      </c>
    </row>
    <row r="384" spans="3:14" x14ac:dyDescent="0.25">
      <c r="C384">
        <v>5</v>
      </c>
      <c r="D384" s="3">
        <f t="shared" si="90"/>
        <v>46108</v>
      </c>
      <c r="E384" s="3">
        <f t="shared" si="88"/>
        <v>46138</v>
      </c>
      <c r="F384" t="s">
        <v>0</v>
      </c>
      <c r="G384" t="s">
        <v>6</v>
      </c>
      <c r="L384" s="1" t="str">
        <f t="shared" si="83"/>
        <v>NA</v>
      </c>
      <c r="M384" s="1">
        <f t="shared" si="84"/>
        <v>0</v>
      </c>
      <c r="N384" s="2">
        <f t="shared" si="77"/>
        <v>30</v>
      </c>
    </row>
    <row r="385" spans="3:14" x14ac:dyDescent="0.25">
      <c r="C385">
        <v>6</v>
      </c>
      <c r="D385" s="3">
        <f t="shared" si="90"/>
        <v>46108</v>
      </c>
      <c r="E385" s="3">
        <f t="shared" si="88"/>
        <v>46138</v>
      </c>
      <c r="F385" t="s">
        <v>0</v>
      </c>
      <c r="G385" t="s">
        <v>10</v>
      </c>
      <c r="L385" s="1" t="str">
        <f t="shared" si="83"/>
        <v>NA</v>
      </c>
      <c r="M385" s="1">
        <f t="shared" si="84"/>
        <v>0</v>
      </c>
      <c r="N385" s="2">
        <f t="shared" si="77"/>
        <v>30</v>
      </c>
    </row>
    <row r="386" spans="3:14" x14ac:dyDescent="0.25">
      <c r="C386">
        <v>1</v>
      </c>
      <c r="D386" s="3">
        <f>D380+1</f>
        <v>46109</v>
      </c>
      <c r="E386" s="3">
        <f t="shared" si="88"/>
        <v>46139</v>
      </c>
      <c r="F386" t="s">
        <v>4</v>
      </c>
      <c r="G386" t="s">
        <v>6</v>
      </c>
      <c r="L386" s="1" t="str">
        <f t="shared" si="83"/>
        <v>NA</v>
      </c>
      <c r="M386" s="1">
        <f t="shared" si="84"/>
        <v>0</v>
      </c>
      <c r="N386" s="2">
        <f t="shared" si="77"/>
        <v>30</v>
      </c>
    </row>
    <row r="387" spans="3:14" x14ac:dyDescent="0.25">
      <c r="C387">
        <v>2</v>
      </c>
      <c r="D387" s="3">
        <f t="shared" ref="D387:D391" si="91">D386</f>
        <v>46109</v>
      </c>
      <c r="E387" s="3">
        <f t="shared" si="88"/>
        <v>46139</v>
      </c>
      <c r="F387" t="s">
        <v>4</v>
      </c>
      <c r="G387" t="s">
        <v>10</v>
      </c>
      <c r="L387" s="1" t="str">
        <f t="shared" si="83"/>
        <v>NA</v>
      </c>
      <c r="M387" s="1">
        <f t="shared" si="84"/>
        <v>0</v>
      </c>
      <c r="N387" s="2">
        <f t="shared" ref="N387:N450" si="92">ABS(D387-E387)</f>
        <v>30</v>
      </c>
    </row>
    <row r="388" spans="3:14" x14ac:dyDescent="0.25">
      <c r="C388">
        <v>3</v>
      </c>
      <c r="D388" s="3">
        <f t="shared" si="91"/>
        <v>46109</v>
      </c>
      <c r="E388" s="3">
        <f t="shared" si="88"/>
        <v>46139</v>
      </c>
      <c r="F388" t="s">
        <v>7</v>
      </c>
      <c r="G388" t="s">
        <v>6</v>
      </c>
      <c r="L388" s="1" t="str">
        <f t="shared" si="83"/>
        <v>NA</v>
      </c>
      <c r="M388" s="1">
        <f t="shared" si="84"/>
        <v>0</v>
      </c>
      <c r="N388" s="2">
        <f t="shared" si="92"/>
        <v>30</v>
      </c>
    </row>
    <row r="389" spans="3:14" x14ac:dyDescent="0.25">
      <c r="C389">
        <v>4</v>
      </c>
      <c r="D389" s="3">
        <f t="shared" si="91"/>
        <v>46109</v>
      </c>
      <c r="E389" s="3">
        <f t="shared" si="88"/>
        <v>46139</v>
      </c>
      <c r="F389" t="s">
        <v>7</v>
      </c>
      <c r="G389" t="s">
        <v>10</v>
      </c>
      <c r="L389" s="1" t="str">
        <f t="shared" si="83"/>
        <v>NA</v>
      </c>
      <c r="M389" s="1">
        <f t="shared" si="84"/>
        <v>0</v>
      </c>
      <c r="N389" s="2">
        <f t="shared" si="92"/>
        <v>30</v>
      </c>
    </row>
    <row r="390" spans="3:14" x14ac:dyDescent="0.25">
      <c r="C390">
        <v>5</v>
      </c>
      <c r="D390" s="3">
        <f t="shared" si="91"/>
        <v>46109</v>
      </c>
      <c r="E390" s="3">
        <f t="shared" si="88"/>
        <v>46139</v>
      </c>
      <c r="F390" t="s">
        <v>0</v>
      </c>
      <c r="G390" t="s">
        <v>6</v>
      </c>
      <c r="L390" s="1" t="str">
        <f t="shared" si="83"/>
        <v>NA</v>
      </c>
      <c r="M390" s="1">
        <f t="shared" si="84"/>
        <v>0</v>
      </c>
      <c r="N390" s="2">
        <f t="shared" si="92"/>
        <v>30</v>
      </c>
    </row>
    <row r="391" spans="3:14" x14ac:dyDescent="0.25">
      <c r="C391">
        <v>6</v>
      </c>
      <c r="D391" s="3">
        <f t="shared" si="91"/>
        <v>46109</v>
      </c>
      <c r="E391" s="3">
        <f t="shared" si="88"/>
        <v>46139</v>
      </c>
      <c r="F391" t="s">
        <v>0</v>
      </c>
      <c r="G391" t="s">
        <v>10</v>
      </c>
      <c r="L391" s="1" t="str">
        <f t="shared" si="83"/>
        <v>NA</v>
      </c>
      <c r="M391" s="1">
        <f t="shared" si="84"/>
        <v>0</v>
      </c>
      <c r="N391" s="2">
        <f t="shared" si="92"/>
        <v>30</v>
      </c>
    </row>
    <row r="392" spans="3:14" x14ac:dyDescent="0.25">
      <c r="C392">
        <v>1</v>
      </c>
      <c r="D392" s="3">
        <f>D386+1</f>
        <v>46110</v>
      </c>
      <c r="E392" s="3">
        <f t="shared" si="88"/>
        <v>46140</v>
      </c>
      <c r="F392" t="s">
        <v>4</v>
      </c>
      <c r="G392" t="s">
        <v>6</v>
      </c>
      <c r="L392" s="1" t="str">
        <f t="shared" si="83"/>
        <v>NA</v>
      </c>
      <c r="M392" s="1">
        <f t="shared" si="84"/>
        <v>0</v>
      </c>
      <c r="N392" s="2">
        <f t="shared" si="92"/>
        <v>30</v>
      </c>
    </row>
    <row r="393" spans="3:14" x14ac:dyDescent="0.25">
      <c r="C393">
        <v>2</v>
      </c>
      <c r="D393" s="3">
        <f t="shared" ref="D393:D397" si="93">D392</f>
        <v>46110</v>
      </c>
      <c r="E393" s="3">
        <f t="shared" si="88"/>
        <v>46140</v>
      </c>
      <c r="F393" t="s">
        <v>4</v>
      </c>
      <c r="G393" t="s">
        <v>10</v>
      </c>
      <c r="L393" s="1" t="str">
        <f t="shared" si="83"/>
        <v>NA</v>
      </c>
      <c r="M393" s="1">
        <f t="shared" si="84"/>
        <v>0</v>
      </c>
      <c r="N393" s="2">
        <f t="shared" si="92"/>
        <v>30</v>
      </c>
    </row>
    <row r="394" spans="3:14" x14ac:dyDescent="0.25">
      <c r="C394">
        <v>3</v>
      </c>
      <c r="D394" s="3">
        <f t="shared" si="93"/>
        <v>46110</v>
      </c>
      <c r="E394" s="3">
        <f t="shared" si="88"/>
        <v>46140</v>
      </c>
      <c r="F394" t="s">
        <v>7</v>
      </c>
      <c r="G394" t="s">
        <v>6</v>
      </c>
      <c r="L394" s="1" t="str">
        <f t="shared" si="83"/>
        <v>NA</v>
      </c>
      <c r="M394" s="1">
        <f t="shared" si="84"/>
        <v>0</v>
      </c>
      <c r="N394" s="2">
        <f t="shared" si="92"/>
        <v>30</v>
      </c>
    </row>
    <row r="395" spans="3:14" x14ac:dyDescent="0.25">
      <c r="C395">
        <v>4</v>
      </c>
      <c r="D395" s="3">
        <f t="shared" si="93"/>
        <v>46110</v>
      </c>
      <c r="E395" s="3">
        <f t="shared" si="88"/>
        <v>46140</v>
      </c>
      <c r="F395" t="s">
        <v>7</v>
      </c>
      <c r="G395" t="s">
        <v>10</v>
      </c>
      <c r="L395" s="1" t="str">
        <f t="shared" si="83"/>
        <v>NA</v>
      </c>
      <c r="M395" s="1">
        <f t="shared" si="84"/>
        <v>0</v>
      </c>
      <c r="N395" s="2">
        <f t="shared" si="92"/>
        <v>30</v>
      </c>
    </row>
    <row r="396" spans="3:14" x14ac:dyDescent="0.25">
      <c r="C396">
        <v>5</v>
      </c>
      <c r="D396" s="3">
        <f t="shared" si="93"/>
        <v>46110</v>
      </c>
      <c r="E396" s="3">
        <f t="shared" si="88"/>
        <v>46140</v>
      </c>
      <c r="F396" t="s">
        <v>0</v>
      </c>
      <c r="G396" t="s">
        <v>6</v>
      </c>
      <c r="L396" s="1" t="str">
        <f t="shared" si="83"/>
        <v>NA</v>
      </c>
      <c r="M396" s="1">
        <f t="shared" si="84"/>
        <v>0</v>
      </c>
      <c r="N396" s="2">
        <f t="shared" si="92"/>
        <v>30</v>
      </c>
    </row>
    <row r="397" spans="3:14" x14ac:dyDescent="0.25">
      <c r="C397">
        <v>6</v>
      </c>
      <c r="D397" s="3">
        <f t="shared" si="93"/>
        <v>46110</v>
      </c>
      <c r="E397" s="3">
        <f t="shared" si="88"/>
        <v>46140</v>
      </c>
      <c r="F397" t="s">
        <v>0</v>
      </c>
      <c r="G397" t="s">
        <v>10</v>
      </c>
      <c r="L397" s="1" t="str">
        <f t="shared" si="83"/>
        <v>NA</v>
      </c>
      <c r="M397" s="1">
        <f t="shared" si="84"/>
        <v>0</v>
      </c>
      <c r="N397" s="2">
        <f t="shared" si="92"/>
        <v>30</v>
      </c>
    </row>
    <row r="398" spans="3:14" x14ac:dyDescent="0.25">
      <c r="C398">
        <v>1</v>
      </c>
      <c r="D398" s="3">
        <f>D392+1</f>
        <v>46111</v>
      </c>
      <c r="E398" s="3">
        <f t="shared" si="88"/>
        <v>46141</v>
      </c>
      <c r="F398" t="s">
        <v>4</v>
      </c>
      <c r="G398" t="s">
        <v>6</v>
      </c>
      <c r="L398" s="1" t="str">
        <f t="shared" si="83"/>
        <v>NA</v>
      </c>
      <c r="M398" s="1">
        <f t="shared" si="84"/>
        <v>0</v>
      </c>
      <c r="N398" s="2">
        <f t="shared" si="92"/>
        <v>30</v>
      </c>
    </row>
    <row r="399" spans="3:14" x14ac:dyDescent="0.25">
      <c r="C399">
        <v>2</v>
      </c>
      <c r="D399" s="3">
        <f t="shared" ref="D399:D403" si="94">D398</f>
        <v>46111</v>
      </c>
      <c r="E399" s="3">
        <f t="shared" si="88"/>
        <v>46141</v>
      </c>
      <c r="F399" t="s">
        <v>4</v>
      </c>
      <c r="G399" t="s">
        <v>10</v>
      </c>
      <c r="L399" s="1" t="str">
        <f t="shared" si="83"/>
        <v>NA</v>
      </c>
      <c r="M399" s="1">
        <f t="shared" si="84"/>
        <v>0</v>
      </c>
      <c r="N399" s="2">
        <f t="shared" si="92"/>
        <v>30</v>
      </c>
    </row>
    <row r="400" spans="3:14" x14ac:dyDescent="0.25">
      <c r="C400">
        <v>3</v>
      </c>
      <c r="D400" s="3">
        <f t="shared" si="94"/>
        <v>46111</v>
      </c>
      <c r="E400" s="3">
        <f t="shared" si="88"/>
        <v>46141</v>
      </c>
      <c r="F400" t="s">
        <v>7</v>
      </c>
      <c r="G400" t="s">
        <v>6</v>
      </c>
      <c r="L400" s="1" t="str">
        <f t="shared" si="83"/>
        <v>NA</v>
      </c>
      <c r="M400" s="1">
        <f t="shared" si="84"/>
        <v>0</v>
      </c>
      <c r="N400" s="2">
        <f t="shared" si="92"/>
        <v>30</v>
      </c>
    </row>
    <row r="401" spans="3:14" x14ac:dyDescent="0.25">
      <c r="C401">
        <v>4</v>
      </c>
      <c r="D401" s="3">
        <f t="shared" si="94"/>
        <v>46111</v>
      </c>
      <c r="E401" s="3">
        <f t="shared" si="88"/>
        <v>46141</v>
      </c>
      <c r="F401" t="s">
        <v>7</v>
      </c>
      <c r="G401" t="s">
        <v>10</v>
      </c>
      <c r="L401" s="1" t="str">
        <f t="shared" si="83"/>
        <v>NA</v>
      </c>
      <c r="M401" s="1">
        <f t="shared" si="84"/>
        <v>0</v>
      </c>
      <c r="N401" s="2">
        <f t="shared" si="92"/>
        <v>30</v>
      </c>
    </row>
    <row r="402" spans="3:14" x14ac:dyDescent="0.25">
      <c r="C402">
        <v>5</v>
      </c>
      <c r="D402" s="3">
        <f t="shared" si="94"/>
        <v>46111</v>
      </c>
      <c r="E402" s="3">
        <f t="shared" si="88"/>
        <v>46141</v>
      </c>
      <c r="F402" t="s">
        <v>0</v>
      </c>
      <c r="G402" t="s">
        <v>6</v>
      </c>
      <c r="L402" s="1" t="str">
        <f t="shared" si="83"/>
        <v>NA</v>
      </c>
      <c r="M402" s="1">
        <f t="shared" si="84"/>
        <v>0</v>
      </c>
      <c r="N402" s="2">
        <f t="shared" si="92"/>
        <v>30</v>
      </c>
    </row>
    <row r="403" spans="3:14" x14ac:dyDescent="0.25">
      <c r="C403">
        <v>6</v>
      </c>
      <c r="D403" s="3">
        <f t="shared" si="94"/>
        <v>46111</v>
      </c>
      <c r="E403" s="3">
        <f t="shared" si="88"/>
        <v>46141</v>
      </c>
      <c r="F403" t="s">
        <v>0</v>
      </c>
      <c r="G403" t="s">
        <v>10</v>
      </c>
      <c r="L403" s="1" t="str">
        <f t="shared" si="83"/>
        <v>NA</v>
      </c>
      <c r="M403" s="1">
        <f t="shared" si="84"/>
        <v>0</v>
      </c>
      <c r="N403" s="2">
        <f t="shared" si="92"/>
        <v>30</v>
      </c>
    </row>
    <row r="404" spans="3:14" x14ac:dyDescent="0.25">
      <c r="C404">
        <v>1</v>
      </c>
      <c r="D404" s="3">
        <f>D398+1</f>
        <v>46112</v>
      </c>
      <c r="E404" s="3">
        <f t="shared" si="88"/>
        <v>46142</v>
      </c>
      <c r="F404" t="s">
        <v>4</v>
      </c>
      <c r="G404" t="s">
        <v>6</v>
      </c>
      <c r="L404" s="1" t="str">
        <f t="shared" si="83"/>
        <v>NA</v>
      </c>
      <c r="M404" s="1">
        <f t="shared" si="84"/>
        <v>0</v>
      </c>
      <c r="N404" s="2">
        <f t="shared" si="92"/>
        <v>30</v>
      </c>
    </row>
    <row r="405" spans="3:14" x14ac:dyDescent="0.25">
      <c r="C405">
        <v>2</v>
      </c>
      <c r="D405" s="3">
        <f t="shared" ref="D405:D409" si="95">D404</f>
        <v>46112</v>
      </c>
      <c r="E405" s="3">
        <f t="shared" si="88"/>
        <v>46142</v>
      </c>
      <c r="F405" t="s">
        <v>4</v>
      </c>
      <c r="G405" t="s">
        <v>10</v>
      </c>
      <c r="L405" s="1" t="str">
        <f t="shared" si="83"/>
        <v>NA</v>
      </c>
      <c r="M405" s="1">
        <f t="shared" si="84"/>
        <v>0</v>
      </c>
      <c r="N405" s="2">
        <f t="shared" si="92"/>
        <v>30</v>
      </c>
    </row>
    <row r="406" spans="3:14" x14ac:dyDescent="0.25">
      <c r="C406">
        <v>3</v>
      </c>
      <c r="D406" s="3">
        <f t="shared" si="95"/>
        <v>46112</v>
      </c>
      <c r="E406" s="3">
        <f t="shared" si="88"/>
        <v>46142</v>
      </c>
      <c r="F406" t="s">
        <v>7</v>
      </c>
      <c r="G406" t="s">
        <v>6</v>
      </c>
      <c r="L406" s="1" t="str">
        <f t="shared" si="83"/>
        <v>NA</v>
      </c>
      <c r="M406" s="1">
        <f t="shared" si="84"/>
        <v>0</v>
      </c>
      <c r="N406" s="2">
        <f t="shared" si="92"/>
        <v>30</v>
      </c>
    </row>
    <row r="407" spans="3:14" x14ac:dyDescent="0.25">
      <c r="C407">
        <v>4</v>
      </c>
      <c r="D407" s="3">
        <f t="shared" si="95"/>
        <v>46112</v>
      </c>
      <c r="E407" s="3">
        <f t="shared" si="88"/>
        <v>46142</v>
      </c>
      <c r="F407" t="s">
        <v>7</v>
      </c>
      <c r="G407" t="s">
        <v>10</v>
      </c>
      <c r="L407" s="1" t="str">
        <f t="shared" si="83"/>
        <v>NA</v>
      </c>
      <c r="M407" s="1">
        <f t="shared" si="84"/>
        <v>0</v>
      </c>
      <c r="N407" s="2">
        <f t="shared" si="92"/>
        <v>30</v>
      </c>
    </row>
    <row r="408" spans="3:14" x14ac:dyDescent="0.25">
      <c r="C408">
        <v>5</v>
      </c>
      <c r="D408" s="3">
        <f t="shared" si="95"/>
        <v>46112</v>
      </c>
      <c r="E408" s="3">
        <f t="shared" si="88"/>
        <v>46142</v>
      </c>
      <c r="F408" t="s">
        <v>0</v>
      </c>
      <c r="G408" t="s">
        <v>6</v>
      </c>
      <c r="L408" s="1" t="str">
        <f t="shared" si="83"/>
        <v>NA</v>
      </c>
      <c r="M408" s="1">
        <f t="shared" si="84"/>
        <v>0</v>
      </c>
      <c r="N408" s="2">
        <f t="shared" si="92"/>
        <v>30</v>
      </c>
    </row>
    <row r="409" spans="3:14" x14ac:dyDescent="0.25">
      <c r="C409">
        <v>6</v>
      </c>
      <c r="D409" s="3">
        <f t="shared" si="95"/>
        <v>46112</v>
      </c>
      <c r="E409" s="3">
        <f t="shared" si="88"/>
        <v>46142</v>
      </c>
      <c r="F409" t="s">
        <v>0</v>
      </c>
      <c r="G409" t="s">
        <v>10</v>
      </c>
      <c r="L409" s="1" t="str">
        <f t="shared" si="83"/>
        <v>NA</v>
      </c>
      <c r="M409" s="1">
        <f t="shared" si="84"/>
        <v>0</v>
      </c>
      <c r="N409" s="2">
        <f t="shared" si="92"/>
        <v>30</v>
      </c>
    </row>
    <row r="410" spans="3:14" x14ac:dyDescent="0.25">
      <c r="C410">
        <v>1</v>
      </c>
      <c r="D410" s="3">
        <f>D404+1</f>
        <v>46113</v>
      </c>
      <c r="E410" s="3">
        <f t="shared" si="88"/>
        <v>46143</v>
      </c>
      <c r="F410" t="s">
        <v>4</v>
      </c>
      <c r="G410" t="s">
        <v>6</v>
      </c>
      <c r="L410" s="1" t="str">
        <f t="shared" si="83"/>
        <v>NA</v>
      </c>
      <c r="M410" s="1">
        <f t="shared" si="84"/>
        <v>0</v>
      </c>
      <c r="N410" s="2">
        <f t="shared" si="92"/>
        <v>30</v>
      </c>
    </row>
    <row r="411" spans="3:14" x14ac:dyDescent="0.25">
      <c r="C411">
        <v>2</v>
      </c>
      <c r="D411" s="3">
        <f t="shared" ref="D411:D415" si="96">D410</f>
        <v>46113</v>
      </c>
      <c r="E411" s="3">
        <f t="shared" si="88"/>
        <v>46143</v>
      </c>
      <c r="F411" t="s">
        <v>4</v>
      </c>
      <c r="G411" t="s">
        <v>10</v>
      </c>
      <c r="L411" s="1" t="str">
        <f t="shared" si="83"/>
        <v>NA</v>
      </c>
      <c r="M411" s="1">
        <f t="shared" si="84"/>
        <v>0</v>
      </c>
      <c r="N411" s="2">
        <f t="shared" si="92"/>
        <v>30</v>
      </c>
    </row>
    <row r="412" spans="3:14" x14ac:dyDescent="0.25">
      <c r="C412">
        <v>3</v>
      </c>
      <c r="D412" s="3">
        <f t="shared" si="96"/>
        <v>46113</v>
      </c>
      <c r="E412" s="3">
        <f t="shared" si="88"/>
        <v>46143</v>
      </c>
      <c r="F412" t="s">
        <v>7</v>
      </c>
      <c r="G412" t="s">
        <v>6</v>
      </c>
      <c r="L412" s="1" t="str">
        <f t="shared" si="83"/>
        <v>NA</v>
      </c>
      <c r="M412" s="1">
        <f t="shared" si="84"/>
        <v>0</v>
      </c>
      <c r="N412" s="2">
        <f t="shared" si="92"/>
        <v>30</v>
      </c>
    </row>
    <row r="413" spans="3:14" x14ac:dyDescent="0.25">
      <c r="C413">
        <v>4</v>
      </c>
      <c r="D413" s="3">
        <f t="shared" si="96"/>
        <v>46113</v>
      </c>
      <c r="E413" s="3">
        <f t="shared" si="88"/>
        <v>46143</v>
      </c>
      <c r="F413" t="s">
        <v>7</v>
      </c>
      <c r="G413" t="s">
        <v>10</v>
      </c>
      <c r="L413" s="1" t="str">
        <f t="shared" si="83"/>
        <v>NA</v>
      </c>
      <c r="M413" s="1">
        <f t="shared" si="84"/>
        <v>0</v>
      </c>
      <c r="N413" s="2">
        <f t="shared" si="92"/>
        <v>30</v>
      </c>
    </row>
    <row r="414" spans="3:14" x14ac:dyDescent="0.25">
      <c r="C414">
        <v>5</v>
      </c>
      <c r="D414" s="3">
        <f t="shared" si="96"/>
        <v>46113</v>
      </c>
      <c r="E414" s="3">
        <f t="shared" si="88"/>
        <v>46143</v>
      </c>
      <c r="F414" t="s">
        <v>0</v>
      </c>
      <c r="G414" t="s">
        <v>6</v>
      </c>
      <c r="L414" s="1" t="str">
        <f t="shared" si="83"/>
        <v>NA</v>
      </c>
      <c r="M414" s="1">
        <f t="shared" si="84"/>
        <v>0</v>
      </c>
      <c r="N414" s="2">
        <f t="shared" si="92"/>
        <v>30</v>
      </c>
    </row>
    <row r="415" spans="3:14" x14ac:dyDescent="0.25">
      <c r="C415">
        <v>6</v>
      </c>
      <c r="D415" s="3">
        <f t="shared" si="96"/>
        <v>46113</v>
      </c>
      <c r="E415" s="3">
        <f t="shared" si="88"/>
        <v>46143</v>
      </c>
      <c r="F415" t="s">
        <v>0</v>
      </c>
      <c r="G415" t="s">
        <v>10</v>
      </c>
      <c r="L415" s="1" t="str">
        <f t="shared" si="83"/>
        <v>NA</v>
      </c>
      <c r="M415" s="1">
        <f t="shared" si="84"/>
        <v>0</v>
      </c>
      <c r="N415" s="2">
        <f t="shared" si="92"/>
        <v>30</v>
      </c>
    </row>
    <row r="416" spans="3:14" x14ac:dyDescent="0.25">
      <c r="C416">
        <v>1</v>
      </c>
      <c r="D416" s="3">
        <f>D410+1</f>
        <v>46114</v>
      </c>
      <c r="E416" s="3">
        <f t="shared" si="88"/>
        <v>46144</v>
      </c>
      <c r="F416" t="s">
        <v>4</v>
      </c>
      <c r="G416" t="s">
        <v>6</v>
      </c>
      <c r="L416" s="1" t="str">
        <f t="shared" si="83"/>
        <v>NA</v>
      </c>
      <c r="M416" s="1">
        <f t="shared" si="84"/>
        <v>0</v>
      </c>
      <c r="N416" s="2">
        <f t="shared" si="92"/>
        <v>30</v>
      </c>
    </row>
    <row r="417" spans="3:14" x14ac:dyDescent="0.25">
      <c r="C417">
        <v>2</v>
      </c>
      <c r="D417" s="3">
        <f t="shared" ref="D417:D421" si="97">D416</f>
        <v>46114</v>
      </c>
      <c r="E417" s="3">
        <f t="shared" si="88"/>
        <v>46144</v>
      </c>
      <c r="F417" t="s">
        <v>4</v>
      </c>
      <c r="G417" t="s">
        <v>10</v>
      </c>
      <c r="L417" s="1" t="str">
        <f t="shared" si="83"/>
        <v>NA</v>
      </c>
      <c r="M417" s="1">
        <f t="shared" si="84"/>
        <v>0</v>
      </c>
      <c r="N417" s="2">
        <f t="shared" si="92"/>
        <v>30</v>
      </c>
    </row>
    <row r="418" spans="3:14" x14ac:dyDescent="0.25">
      <c r="C418">
        <v>3</v>
      </c>
      <c r="D418" s="3">
        <f t="shared" si="97"/>
        <v>46114</v>
      </c>
      <c r="E418" s="3">
        <f t="shared" si="88"/>
        <v>46144</v>
      </c>
      <c r="F418" t="s">
        <v>7</v>
      </c>
      <c r="G418" t="s">
        <v>6</v>
      </c>
      <c r="L418" s="1" t="str">
        <f t="shared" ref="L418:L469" si="98">IFERROR(I418/H418,"NA")</f>
        <v>NA</v>
      </c>
      <c r="M418" s="1">
        <f t="shared" ref="M418:M469" si="99">IFERROR(J418/I418,0)</f>
        <v>0</v>
      </c>
      <c r="N418" s="2">
        <f t="shared" si="92"/>
        <v>30</v>
      </c>
    </row>
    <row r="419" spans="3:14" x14ac:dyDescent="0.25">
      <c r="C419">
        <v>4</v>
      </c>
      <c r="D419" s="3">
        <f t="shared" si="97"/>
        <v>46114</v>
      </c>
      <c r="E419" s="3">
        <f t="shared" si="88"/>
        <v>46144</v>
      </c>
      <c r="F419" t="s">
        <v>7</v>
      </c>
      <c r="G419" t="s">
        <v>10</v>
      </c>
      <c r="L419" s="1" t="str">
        <f t="shared" si="98"/>
        <v>NA</v>
      </c>
      <c r="M419" s="1">
        <f t="shared" si="99"/>
        <v>0</v>
      </c>
      <c r="N419" s="2">
        <f t="shared" si="92"/>
        <v>30</v>
      </c>
    </row>
    <row r="420" spans="3:14" x14ac:dyDescent="0.25">
      <c r="C420">
        <v>5</v>
      </c>
      <c r="D420" s="3">
        <f t="shared" si="97"/>
        <v>46114</v>
      </c>
      <c r="E420" s="3">
        <f t="shared" si="88"/>
        <v>46144</v>
      </c>
      <c r="F420" t="s">
        <v>0</v>
      </c>
      <c r="G420" t="s">
        <v>6</v>
      </c>
      <c r="L420" s="1" t="str">
        <f t="shared" si="98"/>
        <v>NA</v>
      </c>
      <c r="M420" s="1">
        <f t="shared" si="99"/>
        <v>0</v>
      </c>
      <c r="N420" s="2">
        <f t="shared" si="92"/>
        <v>30</v>
      </c>
    </row>
    <row r="421" spans="3:14" x14ac:dyDescent="0.25">
      <c r="C421">
        <v>6</v>
      </c>
      <c r="D421" s="3">
        <f t="shared" si="97"/>
        <v>46114</v>
      </c>
      <c r="E421" s="3">
        <f t="shared" si="88"/>
        <v>46144</v>
      </c>
      <c r="F421" t="s">
        <v>0</v>
      </c>
      <c r="G421" t="s">
        <v>10</v>
      </c>
      <c r="L421" s="1" t="str">
        <f t="shared" si="98"/>
        <v>NA</v>
      </c>
      <c r="M421" s="1">
        <f t="shared" si="99"/>
        <v>0</v>
      </c>
      <c r="N421" s="2">
        <f t="shared" si="92"/>
        <v>30</v>
      </c>
    </row>
    <row r="422" spans="3:14" x14ac:dyDescent="0.25">
      <c r="C422">
        <v>1</v>
      </c>
      <c r="D422" s="3">
        <f>D416+1</f>
        <v>46115</v>
      </c>
      <c r="E422" s="3">
        <f t="shared" si="88"/>
        <v>46145</v>
      </c>
      <c r="F422" t="s">
        <v>4</v>
      </c>
      <c r="G422" t="s">
        <v>6</v>
      </c>
      <c r="L422" s="1" t="str">
        <f t="shared" si="98"/>
        <v>NA</v>
      </c>
      <c r="M422" s="1">
        <f t="shared" si="99"/>
        <v>0</v>
      </c>
      <c r="N422" s="2">
        <f t="shared" si="92"/>
        <v>30</v>
      </c>
    </row>
    <row r="423" spans="3:14" x14ac:dyDescent="0.25">
      <c r="C423">
        <v>2</v>
      </c>
      <c r="D423" s="3">
        <f t="shared" ref="D423:D427" si="100">D422</f>
        <v>46115</v>
      </c>
      <c r="E423" s="3">
        <f t="shared" si="88"/>
        <v>46145</v>
      </c>
      <c r="F423" t="s">
        <v>4</v>
      </c>
      <c r="G423" t="s">
        <v>10</v>
      </c>
      <c r="L423" s="1" t="str">
        <f t="shared" si="98"/>
        <v>NA</v>
      </c>
      <c r="M423" s="1">
        <f t="shared" si="99"/>
        <v>0</v>
      </c>
      <c r="N423" s="2">
        <f t="shared" si="92"/>
        <v>30</v>
      </c>
    </row>
    <row r="424" spans="3:14" x14ac:dyDescent="0.25">
      <c r="C424">
        <v>3</v>
      </c>
      <c r="D424" s="3">
        <f t="shared" si="100"/>
        <v>46115</v>
      </c>
      <c r="E424" s="3">
        <f t="shared" si="88"/>
        <v>46145</v>
      </c>
      <c r="F424" t="s">
        <v>7</v>
      </c>
      <c r="G424" t="s">
        <v>6</v>
      </c>
      <c r="L424" s="1" t="str">
        <f t="shared" si="98"/>
        <v>NA</v>
      </c>
      <c r="M424" s="1">
        <f t="shared" si="99"/>
        <v>0</v>
      </c>
      <c r="N424" s="2">
        <f t="shared" si="92"/>
        <v>30</v>
      </c>
    </row>
    <row r="425" spans="3:14" x14ac:dyDescent="0.25">
      <c r="C425">
        <v>4</v>
      </c>
      <c r="D425" s="3">
        <f t="shared" si="100"/>
        <v>46115</v>
      </c>
      <c r="E425" s="3">
        <f t="shared" si="88"/>
        <v>46145</v>
      </c>
      <c r="F425" t="s">
        <v>7</v>
      </c>
      <c r="G425" t="s">
        <v>10</v>
      </c>
      <c r="L425" s="1" t="str">
        <f t="shared" si="98"/>
        <v>NA</v>
      </c>
      <c r="M425" s="1">
        <f t="shared" si="99"/>
        <v>0</v>
      </c>
      <c r="N425" s="2">
        <f t="shared" si="92"/>
        <v>30</v>
      </c>
    </row>
    <row r="426" spans="3:14" x14ac:dyDescent="0.25">
      <c r="C426">
        <v>5</v>
      </c>
      <c r="D426" s="3">
        <f t="shared" si="100"/>
        <v>46115</v>
      </c>
      <c r="E426" s="3">
        <f t="shared" si="88"/>
        <v>46145</v>
      </c>
      <c r="F426" t="s">
        <v>0</v>
      </c>
      <c r="G426" t="s">
        <v>6</v>
      </c>
      <c r="L426" s="1" t="str">
        <f t="shared" si="98"/>
        <v>NA</v>
      </c>
      <c r="M426" s="1">
        <f t="shared" si="99"/>
        <v>0</v>
      </c>
      <c r="N426" s="2">
        <f t="shared" si="92"/>
        <v>30</v>
      </c>
    </row>
    <row r="427" spans="3:14" x14ac:dyDescent="0.25">
      <c r="C427">
        <v>6</v>
      </c>
      <c r="D427" s="3">
        <f t="shared" si="100"/>
        <v>46115</v>
      </c>
      <c r="E427" s="3">
        <f t="shared" si="88"/>
        <v>46145</v>
      </c>
      <c r="F427" t="s">
        <v>0</v>
      </c>
      <c r="G427" t="s">
        <v>10</v>
      </c>
      <c r="L427" s="1" t="str">
        <f t="shared" si="98"/>
        <v>NA</v>
      </c>
      <c r="M427" s="1">
        <f t="shared" si="99"/>
        <v>0</v>
      </c>
      <c r="N427" s="2">
        <f t="shared" si="92"/>
        <v>30</v>
      </c>
    </row>
    <row r="428" spans="3:14" x14ac:dyDescent="0.25">
      <c r="C428">
        <v>1</v>
      </c>
      <c r="D428" s="3">
        <f>D422+1</f>
        <v>46116</v>
      </c>
      <c r="E428" s="3">
        <f t="shared" si="88"/>
        <v>46146</v>
      </c>
      <c r="F428" t="s">
        <v>4</v>
      </c>
      <c r="G428" t="s">
        <v>6</v>
      </c>
      <c r="L428" s="1" t="str">
        <f t="shared" si="98"/>
        <v>NA</v>
      </c>
      <c r="M428" s="1">
        <f t="shared" si="99"/>
        <v>0</v>
      </c>
      <c r="N428" s="2">
        <f t="shared" si="92"/>
        <v>30</v>
      </c>
    </row>
    <row r="429" spans="3:14" x14ac:dyDescent="0.25">
      <c r="C429">
        <v>2</v>
      </c>
      <c r="D429" s="3">
        <f t="shared" ref="D429:D433" si="101">D428</f>
        <v>46116</v>
      </c>
      <c r="E429" s="3">
        <f t="shared" si="88"/>
        <v>46146</v>
      </c>
      <c r="F429" t="s">
        <v>4</v>
      </c>
      <c r="G429" t="s">
        <v>10</v>
      </c>
      <c r="L429" s="1" t="str">
        <f t="shared" si="98"/>
        <v>NA</v>
      </c>
      <c r="M429" s="1">
        <f t="shared" si="99"/>
        <v>0</v>
      </c>
      <c r="N429" s="2">
        <f t="shared" si="92"/>
        <v>30</v>
      </c>
    </row>
    <row r="430" spans="3:14" x14ac:dyDescent="0.25">
      <c r="C430">
        <v>3</v>
      </c>
      <c r="D430" s="3">
        <f t="shared" si="101"/>
        <v>46116</v>
      </c>
      <c r="E430" s="3">
        <f t="shared" si="88"/>
        <v>46146</v>
      </c>
      <c r="F430" t="s">
        <v>7</v>
      </c>
      <c r="G430" t="s">
        <v>6</v>
      </c>
      <c r="L430" s="1" t="str">
        <f t="shared" si="98"/>
        <v>NA</v>
      </c>
      <c r="M430" s="1">
        <f t="shared" si="99"/>
        <v>0</v>
      </c>
      <c r="N430" s="2">
        <f t="shared" si="92"/>
        <v>30</v>
      </c>
    </row>
    <row r="431" spans="3:14" x14ac:dyDescent="0.25">
      <c r="C431">
        <v>4</v>
      </c>
      <c r="D431" s="3">
        <f t="shared" si="101"/>
        <v>46116</v>
      </c>
      <c r="E431" s="3">
        <f t="shared" si="88"/>
        <v>46146</v>
      </c>
      <c r="F431" t="s">
        <v>7</v>
      </c>
      <c r="G431" t="s">
        <v>10</v>
      </c>
      <c r="L431" s="1" t="str">
        <f t="shared" si="98"/>
        <v>NA</v>
      </c>
      <c r="M431" s="1">
        <f t="shared" si="99"/>
        <v>0</v>
      </c>
      <c r="N431" s="2">
        <f t="shared" si="92"/>
        <v>30</v>
      </c>
    </row>
    <row r="432" spans="3:14" x14ac:dyDescent="0.25">
      <c r="C432">
        <v>5</v>
      </c>
      <c r="D432" s="3">
        <f t="shared" si="101"/>
        <v>46116</v>
      </c>
      <c r="E432" s="3">
        <f t="shared" si="88"/>
        <v>46146</v>
      </c>
      <c r="F432" t="s">
        <v>0</v>
      </c>
      <c r="G432" t="s">
        <v>6</v>
      </c>
      <c r="L432" s="1" t="str">
        <f t="shared" si="98"/>
        <v>NA</v>
      </c>
      <c r="M432" s="1">
        <f t="shared" si="99"/>
        <v>0</v>
      </c>
      <c r="N432" s="2">
        <f t="shared" si="92"/>
        <v>30</v>
      </c>
    </row>
    <row r="433" spans="3:14" x14ac:dyDescent="0.25">
      <c r="C433">
        <v>6</v>
      </c>
      <c r="D433" s="3">
        <f t="shared" si="101"/>
        <v>46116</v>
      </c>
      <c r="E433" s="3">
        <f t="shared" si="88"/>
        <v>46146</v>
      </c>
      <c r="F433" t="s">
        <v>0</v>
      </c>
      <c r="G433" t="s">
        <v>10</v>
      </c>
      <c r="L433" s="1" t="str">
        <f t="shared" si="98"/>
        <v>NA</v>
      </c>
      <c r="M433" s="1">
        <f t="shared" si="99"/>
        <v>0</v>
      </c>
      <c r="N433" s="2">
        <f t="shared" si="92"/>
        <v>30</v>
      </c>
    </row>
    <row r="434" spans="3:14" x14ac:dyDescent="0.25">
      <c r="C434">
        <v>1</v>
      </c>
      <c r="D434" s="3">
        <f>D428+1</f>
        <v>46117</v>
      </c>
      <c r="E434" s="3">
        <f t="shared" si="88"/>
        <v>46147</v>
      </c>
      <c r="F434" t="s">
        <v>4</v>
      </c>
      <c r="G434" t="s">
        <v>6</v>
      </c>
      <c r="L434" s="1" t="str">
        <f t="shared" si="98"/>
        <v>NA</v>
      </c>
      <c r="M434" s="1">
        <f t="shared" si="99"/>
        <v>0</v>
      </c>
      <c r="N434" s="2">
        <f t="shared" si="92"/>
        <v>30</v>
      </c>
    </row>
    <row r="435" spans="3:14" x14ac:dyDescent="0.25">
      <c r="C435">
        <v>2</v>
      </c>
      <c r="D435" s="3">
        <f t="shared" ref="D435:D439" si="102">D434</f>
        <v>46117</v>
      </c>
      <c r="E435" s="3">
        <f t="shared" ref="E435:E469" si="103">D435+30</f>
        <v>46147</v>
      </c>
      <c r="F435" t="s">
        <v>4</v>
      </c>
      <c r="G435" t="s">
        <v>10</v>
      </c>
      <c r="L435" s="1" t="str">
        <f t="shared" si="98"/>
        <v>NA</v>
      </c>
      <c r="M435" s="1">
        <f t="shared" si="99"/>
        <v>0</v>
      </c>
      <c r="N435" s="2">
        <f t="shared" si="92"/>
        <v>30</v>
      </c>
    </row>
    <row r="436" spans="3:14" x14ac:dyDescent="0.25">
      <c r="C436">
        <v>3</v>
      </c>
      <c r="D436" s="3">
        <f t="shared" si="102"/>
        <v>46117</v>
      </c>
      <c r="E436" s="3">
        <f t="shared" si="103"/>
        <v>46147</v>
      </c>
      <c r="F436" t="s">
        <v>7</v>
      </c>
      <c r="G436" t="s">
        <v>6</v>
      </c>
      <c r="L436" s="1" t="str">
        <f t="shared" si="98"/>
        <v>NA</v>
      </c>
      <c r="M436" s="1">
        <f t="shared" si="99"/>
        <v>0</v>
      </c>
      <c r="N436" s="2">
        <f t="shared" si="92"/>
        <v>30</v>
      </c>
    </row>
    <row r="437" spans="3:14" x14ac:dyDescent="0.25">
      <c r="C437">
        <v>4</v>
      </c>
      <c r="D437" s="3">
        <f t="shared" si="102"/>
        <v>46117</v>
      </c>
      <c r="E437" s="3">
        <f t="shared" si="103"/>
        <v>46147</v>
      </c>
      <c r="F437" t="s">
        <v>7</v>
      </c>
      <c r="G437" t="s">
        <v>10</v>
      </c>
      <c r="L437" s="1" t="str">
        <f t="shared" si="98"/>
        <v>NA</v>
      </c>
      <c r="M437" s="1">
        <f t="shared" si="99"/>
        <v>0</v>
      </c>
      <c r="N437" s="2">
        <f t="shared" si="92"/>
        <v>30</v>
      </c>
    </row>
    <row r="438" spans="3:14" x14ac:dyDescent="0.25">
      <c r="C438">
        <v>5</v>
      </c>
      <c r="D438" s="3">
        <f t="shared" si="102"/>
        <v>46117</v>
      </c>
      <c r="E438" s="3">
        <f t="shared" si="103"/>
        <v>46147</v>
      </c>
      <c r="F438" t="s">
        <v>0</v>
      </c>
      <c r="G438" t="s">
        <v>6</v>
      </c>
      <c r="L438" s="1" t="str">
        <f t="shared" si="98"/>
        <v>NA</v>
      </c>
      <c r="M438" s="1">
        <f t="shared" si="99"/>
        <v>0</v>
      </c>
      <c r="N438" s="2">
        <f t="shared" si="92"/>
        <v>30</v>
      </c>
    </row>
    <row r="439" spans="3:14" x14ac:dyDescent="0.25">
      <c r="C439">
        <v>6</v>
      </c>
      <c r="D439" s="3">
        <f t="shared" si="102"/>
        <v>46117</v>
      </c>
      <c r="E439" s="3">
        <f t="shared" si="103"/>
        <v>46147</v>
      </c>
      <c r="F439" t="s">
        <v>0</v>
      </c>
      <c r="G439" t="s">
        <v>10</v>
      </c>
      <c r="L439" s="1" t="str">
        <f t="shared" si="98"/>
        <v>NA</v>
      </c>
      <c r="M439" s="1">
        <f t="shared" si="99"/>
        <v>0</v>
      </c>
      <c r="N439" s="2">
        <f t="shared" si="92"/>
        <v>30</v>
      </c>
    </row>
    <row r="440" spans="3:14" x14ac:dyDescent="0.25">
      <c r="C440">
        <v>1</v>
      </c>
      <c r="D440" s="3">
        <f>D434+1</f>
        <v>46118</v>
      </c>
      <c r="E440" s="3">
        <f t="shared" si="103"/>
        <v>46148</v>
      </c>
      <c r="F440" t="s">
        <v>4</v>
      </c>
      <c r="G440" t="s">
        <v>6</v>
      </c>
      <c r="L440" s="1" t="str">
        <f t="shared" si="98"/>
        <v>NA</v>
      </c>
      <c r="M440" s="1">
        <f t="shared" si="99"/>
        <v>0</v>
      </c>
      <c r="N440" s="2">
        <f t="shared" si="92"/>
        <v>30</v>
      </c>
    </row>
    <row r="441" spans="3:14" x14ac:dyDescent="0.25">
      <c r="C441">
        <v>2</v>
      </c>
      <c r="D441" s="3">
        <f t="shared" ref="D441:D445" si="104">D440</f>
        <v>46118</v>
      </c>
      <c r="E441" s="3">
        <f t="shared" si="103"/>
        <v>46148</v>
      </c>
      <c r="F441" t="s">
        <v>4</v>
      </c>
      <c r="G441" t="s">
        <v>10</v>
      </c>
      <c r="L441" s="1" t="str">
        <f t="shared" si="98"/>
        <v>NA</v>
      </c>
      <c r="M441" s="1">
        <f t="shared" si="99"/>
        <v>0</v>
      </c>
      <c r="N441" s="2">
        <f t="shared" si="92"/>
        <v>30</v>
      </c>
    </row>
    <row r="442" spans="3:14" x14ac:dyDescent="0.25">
      <c r="C442">
        <v>3</v>
      </c>
      <c r="D442" s="3">
        <f t="shared" si="104"/>
        <v>46118</v>
      </c>
      <c r="E442" s="3">
        <f t="shared" si="103"/>
        <v>46148</v>
      </c>
      <c r="F442" t="s">
        <v>7</v>
      </c>
      <c r="G442" t="s">
        <v>6</v>
      </c>
      <c r="L442" s="1" t="str">
        <f t="shared" si="98"/>
        <v>NA</v>
      </c>
      <c r="M442" s="1">
        <f t="shared" si="99"/>
        <v>0</v>
      </c>
      <c r="N442" s="2">
        <f t="shared" si="92"/>
        <v>30</v>
      </c>
    </row>
    <row r="443" spans="3:14" x14ac:dyDescent="0.25">
      <c r="C443">
        <v>4</v>
      </c>
      <c r="D443" s="3">
        <f t="shared" si="104"/>
        <v>46118</v>
      </c>
      <c r="E443" s="3">
        <f t="shared" si="103"/>
        <v>46148</v>
      </c>
      <c r="F443" t="s">
        <v>7</v>
      </c>
      <c r="G443" t="s">
        <v>10</v>
      </c>
      <c r="L443" s="1" t="str">
        <f t="shared" si="98"/>
        <v>NA</v>
      </c>
      <c r="M443" s="1">
        <f t="shared" si="99"/>
        <v>0</v>
      </c>
      <c r="N443" s="2">
        <f t="shared" si="92"/>
        <v>30</v>
      </c>
    </row>
    <row r="444" spans="3:14" x14ac:dyDescent="0.25">
      <c r="C444">
        <v>5</v>
      </c>
      <c r="D444" s="3">
        <f t="shared" si="104"/>
        <v>46118</v>
      </c>
      <c r="E444" s="3">
        <f t="shared" si="103"/>
        <v>46148</v>
      </c>
      <c r="F444" t="s">
        <v>0</v>
      </c>
      <c r="G444" t="s">
        <v>6</v>
      </c>
      <c r="L444" s="1" t="str">
        <f t="shared" si="98"/>
        <v>NA</v>
      </c>
      <c r="M444" s="1">
        <f t="shared" si="99"/>
        <v>0</v>
      </c>
      <c r="N444" s="2">
        <f t="shared" si="92"/>
        <v>30</v>
      </c>
    </row>
    <row r="445" spans="3:14" x14ac:dyDescent="0.25">
      <c r="C445">
        <v>6</v>
      </c>
      <c r="D445" s="3">
        <f t="shared" si="104"/>
        <v>46118</v>
      </c>
      <c r="E445" s="3">
        <f t="shared" si="103"/>
        <v>46148</v>
      </c>
      <c r="F445" t="s">
        <v>0</v>
      </c>
      <c r="G445" t="s">
        <v>10</v>
      </c>
      <c r="L445" s="1" t="str">
        <f t="shared" si="98"/>
        <v>NA</v>
      </c>
      <c r="M445" s="1">
        <f t="shared" si="99"/>
        <v>0</v>
      </c>
      <c r="N445" s="2">
        <f t="shared" si="92"/>
        <v>30</v>
      </c>
    </row>
    <row r="446" spans="3:14" x14ac:dyDescent="0.25">
      <c r="C446">
        <v>1</v>
      </c>
      <c r="D446" s="3">
        <f>D440+1</f>
        <v>46119</v>
      </c>
      <c r="E446" s="3">
        <f t="shared" si="103"/>
        <v>46149</v>
      </c>
      <c r="F446" t="s">
        <v>4</v>
      </c>
      <c r="G446" t="s">
        <v>6</v>
      </c>
      <c r="L446" s="1" t="str">
        <f t="shared" si="98"/>
        <v>NA</v>
      </c>
      <c r="M446" s="1">
        <f t="shared" si="99"/>
        <v>0</v>
      </c>
      <c r="N446" s="2">
        <f t="shared" si="92"/>
        <v>30</v>
      </c>
    </row>
    <row r="447" spans="3:14" x14ac:dyDescent="0.25">
      <c r="C447">
        <v>2</v>
      </c>
      <c r="D447" s="3">
        <f t="shared" ref="D447:D451" si="105">D446</f>
        <v>46119</v>
      </c>
      <c r="E447" s="3">
        <f t="shared" si="103"/>
        <v>46149</v>
      </c>
      <c r="F447" t="s">
        <v>4</v>
      </c>
      <c r="G447" t="s">
        <v>10</v>
      </c>
      <c r="L447" s="1" t="str">
        <f t="shared" si="98"/>
        <v>NA</v>
      </c>
      <c r="M447" s="1">
        <f t="shared" si="99"/>
        <v>0</v>
      </c>
      <c r="N447" s="2">
        <f t="shared" si="92"/>
        <v>30</v>
      </c>
    </row>
    <row r="448" spans="3:14" x14ac:dyDescent="0.25">
      <c r="C448">
        <v>3</v>
      </c>
      <c r="D448" s="3">
        <f t="shared" si="105"/>
        <v>46119</v>
      </c>
      <c r="E448" s="3">
        <f t="shared" si="103"/>
        <v>46149</v>
      </c>
      <c r="F448" t="s">
        <v>7</v>
      </c>
      <c r="G448" t="s">
        <v>6</v>
      </c>
      <c r="L448" s="1" t="str">
        <f t="shared" si="98"/>
        <v>NA</v>
      </c>
      <c r="M448" s="1">
        <f t="shared" si="99"/>
        <v>0</v>
      </c>
      <c r="N448" s="2">
        <f t="shared" si="92"/>
        <v>30</v>
      </c>
    </row>
    <row r="449" spans="3:14" x14ac:dyDescent="0.25">
      <c r="C449">
        <v>4</v>
      </c>
      <c r="D449" s="3">
        <f t="shared" si="105"/>
        <v>46119</v>
      </c>
      <c r="E449" s="3">
        <f t="shared" si="103"/>
        <v>46149</v>
      </c>
      <c r="F449" t="s">
        <v>7</v>
      </c>
      <c r="G449" t="s">
        <v>10</v>
      </c>
      <c r="L449" s="1" t="str">
        <f t="shared" si="98"/>
        <v>NA</v>
      </c>
      <c r="M449" s="1">
        <f t="shared" si="99"/>
        <v>0</v>
      </c>
      <c r="N449" s="2">
        <f t="shared" si="92"/>
        <v>30</v>
      </c>
    </row>
    <row r="450" spans="3:14" x14ac:dyDescent="0.25">
      <c r="C450">
        <v>5</v>
      </c>
      <c r="D450" s="3">
        <f t="shared" si="105"/>
        <v>46119</v>
      </c>
      <c r="E450" s="3">
        <f t="shared" si="103"/>
        <v>46149</v>
      </c>
      <c r="F450" t="s">
        <v>0</v>
      </c>
      <c r="G450" t="s">
        <v>6</v>
      </c>
      <c r="L450" s="1" t="str">
        <f t="shared" si="98"/>
        <v>NA</v>
      </c>
      <c r="M450" s="1">
        <f t="shared" si="99"/>
        <v>0</v>
      </c>
      <c r="N450" s="2">
        <f t="shared" si="92"/>
        <v>30</v>
      </c>
    </row>
    <row r="451" spans="3:14" x14ac:dyDescent="0.25">
      <c r="C451">
        <v>6</v>
      </c>
      <c r="D451" s="3">
        <f t="shared" si="105"/>
        <v>46119</v>
      </c>
      <c r="E451" s="3">
        <f t="shared" si="103"/>
        <v>46149</v>
      </c>
      <c r="F451" t="s">
        <v>0</v>
      </c>
      <c r="G451" t="s">
        <v>10</v>
      </c>
      <c r="L451" s="1" t="str">
        <f t="shared" si="98"/>
        <v>NA</v>
      </c>
      <c r="M451" s="1">
        <f t="shared" si="99"/>
        <v>0</v>
      </c>
      <c r="N451" s="2">
        <f t="shared" ref="N451:N469" si="106">ABS(D451-E451)</f>
        <v>30</v>
      </c>
    </row>
    <row r="452" spans="3:14" x14ac:dyDescent="0.25">
      <c r="C452">
        <v>1</v>
      </c>
      <c r="D452" s="3">
        <f>D446+1</f>
        <v>46120</v>
      </c>
      <c r="E452" s="3">
        <f t="shared" si="103"/>
        <v>46150</v>
      </c>
      <c r="F452" t="s">
        <v>4</v>
      </c>
      <c r="G452" t="s">
        <v>6</v>
      </c>
      <c r="L452" s="1" t="str">
        <f t="shared" si="98"/>
        <v>NA</v>
      </c>
      <c r="M452" s="1">
        <f t="shared" si="99"/>
        <v>0</v>
      </c>
      <c r="N452" s="2">
        <f t="shared" si="106"/>
        <v>30</v>
      </c>
    </row>
    <row r="453" spans="3:14" x14ac:dyDescent="0.25">
      <c r="C453">
        <v>2</v>
      </c>
      <c r="D453" s="3">
        <f t="shared" ref="D453:D457" si="107">D452</f>
        <v>46120</v>
      </c>
      <c r="E453" s="3">
        <f t="shared" si="103"/>
        <v>46150</v>
      </c>
      <c r="F453" t="s">
        <v>4</v>
      </c>
      <c r="G453" t="s">
        <v>10</v>
      </c>
      <c r="L453" s="1" t="str">
        <f t="shared" si="98"/>
        <v>NA</v>
      </c>
      <c r="M453" s="1">
        <f t="shared" si="99"/>
        <v>0</v>
      </c>
      <c r="N453" s="2">
        <f t="shared" si="106"/>
        <v>30</v>
      </c>
    </row>
    <row r="454" spans="3:14" x14ac:dyDescent="0.25">
      <c r="C454">
        <v>3</v>
      </c>
      <c r="D454" s="3">
        <f t="shared" si="107"/>
        <v>46120</v>
      </c>
      <c r="E454" s="3">
        <f t="shared" si="103"/>
        <v>46150</v>
      </c>
      <c r="F454" t="s">
        <v>7</v>
      </c>
      <c r="G454" t="s">
        <v>6</v>
      </c>
      <c r="L454" s="1" t="str">
        <f t="shared" si="98"/>
        <v>NA</v>
      </c>
      <c r="M454" s="1">
        <f t="shared" si="99"/>
        <v>0</v>
      </c>
      <c r="N454" s="2">
        <f t="shared" si="106"/>
        <v>30</v>
      </c>
    </row>
    <row r="455" spans="3:14" x14ac:dyDescent="0.25">
      <c r="C455">
        <v>4</v>
      </c>
      <c r="D455" s="3">
        <f t="shared" si="107"/>
        <v>46120</v>
      </c>
      <c r="E455" s="3">
        <f t="shared" si="103"/>
        <v>46150</v>
      </c>
      <c r="F455" t="s">
        <v>7</v>
      </c>
      <c r="G455" t="s">
        <v>10</v>
      </c>
      <c r="L455" s="1" t="str">
        <f t="shared" si="98"/>
        <v>NA</v>
      </c>
      <c r="M455" s="1">
        <f t="shared" si="99"/>
        <v>0</v>
      </c>
      <c r="N455" s="2">
        <f t="shared" si="106"/>
        <v>30</v>
      </c>
    </row>
    <row r="456" spans="3:14" x14ac:dyDescent="0.25">
      <c r="C456">
        <v>5</v>
      </c>
      <c r="D456" s="3">
        <f t="shared" si="107"/>
        <v>46120</v>
      </c>
      <c r="E456" s="3">
        <f t="shared" si="103"/>
        <v>46150</v>
      </c>
      <c r="F456" t="s">
        <v>0</v>
      </c>
      <c r="G456" t="s">
        <v>6</v>
      </c>
      <c r="L456" s="1" t="str">
        <f t="shared" si="98"/>
        <v>NA</v>
      </c>
      <c r="M456" s="1">
        <f t="shared" si="99"/>
        <v>0</v>
      </c>
      <c r="N456" s="2">
        <f t="shared" si="106"/>
        <v>30</v>
      </c>
    </row>
    <row r="457" spans="3:14" x14ac:dyDescent="0.25">
      <c r="C457">
        <v>6</v>
      </c>
      <c r="D457" s="3">
        <f t="shared" si="107"/>
        <v>46120</v>
      </c>
      <c r="E457" s="3">
        <f t="shared" si="103"/>
        <v>46150</v>
      </c>
      <c r="F457" t="s">
        <v>0</v>
      </c>
      <c r="G457" t="s">
        <v>10</v>
      </c>
      <c r="L457" s="1" t="str">
        <f t="shared" si="98"/>
        <v>NA</v>
      </c>
      <c r="M457" s="1">
        <f t="shared" si="99"/>
        <v>0</v>
      </c>
      <c r="N457" s="2">
        <f t="shared" si="106"/>
        <v>30</v>
      </c>
    </row>
    <row r="458" spans="3:14" x14ac:dyDescent="0.25">
      <c r="C458">
        <v>1</v>
      </c>
      <c r="D458" s="3">
        <f>D452+1</f>
        <v>46121</v>
      </c>
      <c r="E458" s="3">
        <f t="shared" si="103"/>
        <v>46151</v>
      </c>
      <c r="F458" t="s">
        <v>4</v>
      </c>
      <c r="G458" t="s">
        <v>6</v>
      </c>
      <c r="L458" s="1" t="str">
        <f t="shared" si="98"/>
        <v>NA</v>
      </c>
      <c r="M458" s="1">
        <f t="shared" si="99"/>
        <v>0</v>
      </c>
      <c r="N458" s="2">
        <f t="shared" si="106"/>
        <v>30</v>
      </c>
    </row>
    <row r="459" spans="3:14" x14ac:dyDescent="0.25">
      <c r="C459">
        <v>2</v>
      </c>
      <c r="D459" s="3">
        <f t="shared" ref="D459:D463" si="108">D458</f>
        <v>46121</v>
      </c>
      <c r="E459" s="3">
        <f t="shared" si="103"/>
        <v>46151</v>
      </c>
      <c r="F459" t="s">
        <v>4</v>
      </c>
      <c r="G459" t="s">
        <v>10</v>
      </c>
      <c r="L459" s="1" t="str">
        <f t="shared" si="98"/>
        <v>NA</v>
      </c>
      <c r="M459" s="1">
        <f t="shared" si="99"/>
        <v>0</v>
      </c>
      <c r="N459" s="2">
        <f t="shared" si="106"/>
        <v>30</v>
      </c>
    </row>
    <row r="460" spans="3:14" x14ac:dyDescent="0.25">
      <c r="C460">
        <v>3</v>
      </c>
      <c r="D460" s="3">
        <f t="shared" si="108"/>
        <v>46121</v>
      </c>
      <c r="E460" s="3">
        <f t="shared" si="103"/>
        <v>46151</v>
      </c>
      <c r="F460" t="s">
        <v>7</v>
      </c>
      <c r="G460" t="s">
        <v>6</v>
      </c>
      <c r="L460" s="1" t="str">
        <f t="shared" si="98"/>
        <v>NA</v>
      </c>
      <c r="M460" s="1">
        <f t="shared" si="99"/>
        <v>0</v>
      </c>
      <c r="N460" s="2">
        <f t="shared" si="106"/>
        <v>30</v>
      </c>
    </row>
    <row r="461" spans="3:14" x14ac:dyDescent="0.25">
      <c r="C461">
        <v>4</v>
      </c>
      <c r="D461" s="3">
        <f t="shared" si="108"/>
        <v>46121</v>
      </c>
      <c r="E461" s="3">
        <f t="shared" si="103"/>
        <v>46151</v>
      </c>
      <c r="F461" t="s">
        <v>7</v>
      </c>
      <c r="G461" t="s">
        <v>10</v>
      </c>
      <c r="L461" s="1" t="str">
        <f t="shared" si="98"/>
        <v>NA</v>
      </c>
      <c r="M461" s="1">
        <f t="shared" si="99"/>
        <v>0</v>
      </c>
      <c r="N461" s="2">
        <f t="shared" si="106"/>
        <v>30</v>
      </c>
    </row>
    <row r="462" spans="3:14" x14ac:dyDescent="0.25">
      <c r="C462">
        <v>5</v>
      </c>
      <c r="D462" s="3">
        <f t="shared" si="108"/>
        <v>46121</v>
      </c>
      <c r="E462" s="3">
        <f t="shared" si="103"/>
        <v>46151</v>
      </c>
      <c r="F462" t="s">
        <v>0</v>
      </c>
      <c r="G462" t="s">
        <v>6</v>
      </c>
      <c r="L462" s="1" t="str">
        <f t="shared" si="98"/>
        <v>NA</v>
      </c>
      <c r="M462" s="1">
        <f t="shared" si="99"/>
        <v>0</v>
      </c>
      <c r="N462" s="2">
        <f t="shared" si="106"/>
        <v>30</v>
      </c>
    </row>
    <row r="463" spans="3:14" x14ac:dyDescent="0.25">
      <c r="C463">
        <v>6</v>
      </c>
      <c r="D463" s="3">
        <f t="shared" si="108"/>
        <v>46121</v>
      </c>
      <c r="E463" s="3">
        <f t="shared" si="103"/>
        <v>46151</v>
      </c>
      <c r="F463" t="s">
        <v>0</v>
      </c>
      <c r="G463" t="s">
        <v>10</v>
      </c>
      <c r="L463" s="1" t="str">
        <f t="shared" si="98"/>
        <v>NA</v>
      </c>
      <c r="M463" s="1">
        <f t="shared" si="99"/>
        <v>0</v>
      </c>
      <c r="N463" s="2">
        <f t="shared" si="106"/>
        <v>30</v>
      </c>
    </row>
    <row r="464" spans="3:14" x14ac:dyDescent="0.25">
      <c r="C464">
        <v>1</v>
      </c>
      <c r="D464" s="3">
        <f>D458+1</f>
        <v>46122</v>
      </c>
      <c r="E464" s="3">
        <f t="shared" si="103"/>
        <v>46152</v>
      </c>
      <c r="F464" t="s">
        <v>4</v>
      </c>
      <c r="G464" t="s">
        <v>6</v>
      </c>
      <c r="L464" s="1" t="str">
        <f t="shared" si="98"/>
        <v>NA</v>
      </c>
      <c r="M464" s="1">
        <f t="shared" si="99"/>
        <v>0</v>
      </c>
      <c r="N464" s="2">
        <f t="shared" si="106"/>
        <v>30</v>
      </c>
    </row>
    <row r="465" spans="3:14" x14ac:dyDescent="0.25">
      <c r="C465">
        <v>2</v>
      </c>
      <c r="D465" s="3">
        <f t="shared" ref="D465:D469" si="109">D464</f>
        <v>46122</v>
      </c>
      <c r="E465" s="3">
        <f t="shared" si="103"/>
        <v>46152</v>
      </c>
      <c r="F465" t="s">
        <v>4</v>
      </c>
      <c r="G465" t="s">
        <v>10</v>
      </c>
      <c r="L465" s="1" t="str">
        <f t="shared" si="98"/>
        <v>NA</v>
      </c>
      <c r="M465" s="1">
        <f t="shared" si="99"/>
        <v>0</v>
      </c>
      <c r="N465" s="2">
        <f t="shared" si="106"/>
        <v>30</v>
      </c>
    </row>
    <row r="466" spans="3:14" x14ac:dyDescent="0.25">
      <c r="C466">
        <v>3</v>
      </c>
      <c r="D466" s="3">
        <f t="shared" si="109"/>
        <v>46122</v>
      </c>
      <c r="E466" s="3">
        <f t="shared" si="103"/>
        <v>46152</v>
      </c>
      <c r="F466" t="s">
        <v>7</v>
      </c>
      <c r="G466" t="s">
        <v>6</v>
      </c>
      <c r="L466" s="1" t="str">
        <f t="shared" si="98"/>
        <v>NA</v>
      </c>
      <c r="M466" s="1">
        <f t="shared" si="99"/>
        <v>0</v>
      </c>
      <c r="N466" s="2">
        <f t="shared" si="106"/>
        <v>30</v>
      </c>
    </row>
    <row r="467" spans="3:14" x14ac:dyDescent="0.25">
      <c r="C467">
        <v>4</v>
      </c>
      <c r="D467" s="3">
        <f t="shared" si="109"/>
        <v>46122</v>
      </c>
      <c r="E467" s="3">
        <f t="shared" si="103"/>
        <v>46152</v>
      </c>
      <c r="F467" t="s">
        <v>7</v>
      </c>
      <c r="G467" t="s">
        <v>10</v>
      </c>
      <c r="L467" s="1" t="str">
        <f t="shared" si="98"/>
        <v>NA</v>
      </c>
      <c r="M467" s="1">
        <f t="shared" si="99"/>
        <v>0</v>
      </c>
      <c r="N467" s="2">
        <f t="shared" si="106"/>
        <v>30</v>
      </c>
    </row>
    <row r="468" spans="3:14" x14ac:dyDescent="0.25">
      <c r="C468">
        <v>5</v>
      </c>
      <c r="D468" s="3">
        <f t="shared" si="109"/>
        <v>46122</v>
      </c>
      <c r="E468" s="3">
        <f t="shared" si="103"/>
        <v>46152</v>
      </c>
      <c r="F468" t="s">
        <v>0</v>
      </c>
      <c r="G468" t="s">
        <v>6</v>
      </c>
      <c r="L468" s="1" t="str">
        <f t="shared" si="98"/>
        <v>NA</v>
      </c>
      <c r="M468" s="1">
        <f t="shared" si="99"/>
        <v>0</v>
      </c>
      <c r="N468" s="2">
        <f t="shared" si="106"/>
        <v>30</v>
      </c>
    </row>
    <row r="469" spans="3:14" x14ac:dyDescent="0.25">
      <c r="C469">
        <v>6</v>
      </c>
      <c r="D469" s="3">
        <f t="shared" si="109"/>
        <v>46122</v>
      </c>
      <c r="E469" s="3">
        <f t="shared" si="103"/>
        <v>46152</v>
      </c>
      <c r="F469" t="s">
        <v>0</v>
      </c>
      <c r="G469" t="s">
        <v>10</v>
      </c>
      <c r="L469" s="1" t="str">
        <f t="shared" si="98"/>
        <v>NA</v>
      </c>
      <c r="M469" s="1">
        <f t="shared" si="99"/>
        <v>0</v>
      </c>
      <c r="N469" s="2">
        <f t="shared" si="106"/>
        <v>30</v>
      </c>
    </row>
  </sheetData>
  <autoFilter ref="C1:O289" xr:uid="{137962AD-635D-4CBB-BA88-144250FD5A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>L.L.Bean,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Calleja</dc:creator>
  <cp:lastModifiedBy>Maria Calleja</cp:lastModifiedBy>
  <dcterms:created xsi:type="dcterms:W3CDTF">2026-01-07T16:06:32Z</dcterms:created>
  <dcterms:modified xsi:type="dcterms:W3CDTF">2026-02-13T16:18:34Z</dcterms:modified>
</cp:coreProperties>
</file>